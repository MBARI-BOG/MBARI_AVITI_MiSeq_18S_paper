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aker/Documents/GitHub/AVITI_MiSeq_comparson_18S/data/"/>
    </mc:Choice>
  </mc:AlternateContent>
  <xr:revisionPtr revIDLastSave="0" documentId="13_ncr:1_{77ADB0AF-9EDE-474B-B616-CD9A5CCAE74D}" xr6:coauthVersionLast="47" xr6:coauthVersionMax="47" xr10:uidLastSave="{00000000-0000-0000-0000-000000000000}"/>
  <bookViews>
    <workbookView xWindow="-64940" yWindow="3580" windowWidth="40040" windowHeight="22720" xr2:uid="{5C792426-B6A3-0145-B370-0666E9D088EE}"/>
  </bookViews>
  <sheets>
    <sheet name="18S read trac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2" l="1"/>
  <c r="AF3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H12" i="2"/>
  <c r="AF12" i="2"/>
  <c r="AH11" i="2"/>
  <c r="AF11" i="2"/>
  <c r="AF10" i="2"/>
  <c r="AF9" i="2"/>
  <c r="AF8" i="2"/>
  <c r="AF7" i="2"/>
  <c r="AF6" i="2"/>
  <c r="AF5" i="2"/>
  <c r="AF4" i="2"/>
  <c r="AH6" i="2" s="1"/>
  <c r="AH3" i="2"/>
  <c r="H3" i="2"/>
  <c r="AH5" i="2" l="1"/>
  <c r="AH4" i="2"/>
  <c r="K20" i="2"/>
  <c r="K19" i="2"/>
  <c r="K18" i="2"/>
  <c r="K1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3" i="2"/>
  <c r="J14" i="2" l="1"/>
  <c r="J13" i="2"/>
  <c r="J11" i="2"/>
  <c r="J12" i="2"/>
  <c r="J6" i="2"/>
  <c r="J5" i="2"/>
  <c r="J4" i="2"/>
  <c r="J3" i="2"/>
  <c r="W12" i="2"/>
  <c r="W11" i="2"/>
  <c r="W6" i="2"/>
  <c r="W5" i="2"/>
  <c r="W4" i="2"/>
  <c r="W2" i="2"/>
  <c r="H97" i="2"/>
  <c r="U97" i="2"/>
  <c r="H96" i="2"/>
  <c r="U96" i="2"/>
  <c r="U3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J2" i="2" l="1"/>
  <c r="W3" i="2"/>
</calcChain>
</file>

<file path=xl/sharedStrings.xml><?xml version="1.0" encoding="utf-8"?>
<sst xmlns="http://schemas.openxmlformats.org/spreadsheetml/2006/main" count="336" uniqueCount="213">
  <si>
    <t>MiSeq</t>
  </si>
  <si>
    <t>input</t>
  </si>
  <si>
    <t>filtered</t>
  </si>
  <si>
    <t>denoisedF</t>
  </si>
  <si>
    <t>denoisedR</t>
  </si>
  <si>
    <t>merged</t>
  </si>
  <si>
    <t>nonchim</t>
  </si>
  <si>
    <t>AVITI</t>
  </si>
  <si>
    <t>perc_pass_filter</t>
  </si>
  <si>
    <t>standard dev</t>
  </si>
  <si>
    <t>median</t>
  </si>
  <si>
    <t>min</t>
  </si>
  <si>
    <t>max</t>
  </si>
  <si>
    <t>average</t>
  </si>
  <si>
    <t>ave reads start</t>
  </si>
  <si>
    <t>ave reads end</t>
  </si>
  <si>
    <t>FD1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</si>
  <si>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</si>
  <si>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</si>
  <si>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</si>
  <si>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</si>
  <si>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</si>
  <si>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</si>
  <si>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</si>
  <si>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</si>
  <si>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</si>
  <si>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</si>
  <si>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</si>
  <si>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</si>
  <si>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</si>
  <si>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</si>
  <si>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</si>
  <si>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</si>
  <si>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</si>
  <si>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</si>
  <si>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</si>
  <si>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</si>
  <si>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</si>
  <si>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</t>
  </si>
  <si>
    <t>FD30</t>
  </si>
  <si>
    <t>FD31</t>
  </si>
  <si>
    <t>FD32</t>
  </si>
  <si>
    <t>FD33</t>
  </si>
  <si>
    <t>FD34</t>
  </si>
  <si>
    <t>FD35</t>
  </si>
  <si>
    <t>FD36</t>
  </si>
  <si>
    <t>FD37</t>
  </si>
  <si>
    <t>FD38</t>
  </si>
  <si>
    <t>FD39</t>
  </si>
  <si>
    <t>FD4</t>
  </si>
  <si>
    <t>FD40</t>
  </si>
  <si>
    <t>FD41</t>
  </si>
  <si>
    <t>FD42</t>
  </si>
  <si>
    <t>FD43</t>
  </si>
  <si>
    <t>FD44</t>
  </si>
  <si>
    <t>FD45</t>
  </si>
  <si>
    <t>FD46</t>
  </si>
  <si>
    <t>FD47</t>
  </si>
  <si>
    <t>FD48</t>
  </si>
  <si>
    <t>FD49</t>
  </si>
  <si>
    <t>FD5</t>
  </si>
  <si>
    <t>FD50</t>
  </si>
  <si>
    <t>FD51</t>
  </si>
  <si>
    <t>FD52</t>
  </si>
  <si>
    <t>FD53</t>
  </si>
  <si>
    <t>FD54</t>
  </si>
  <si>
    <t>FD55</t>
  </si>
  <si>
    <t>FD56</t>
  </si>
  <si>
    <t>FD57</t>
  </si>
  <si>
    <t>FD58</t>
  </si>
  <si>
    <t>FD59</t>
  </si>
  <si>
    <t>FD6</t>
  </si>
  <si>
    <t>FD60</t>
  </si>
  <si>
    <t>FD61</t>
  </si>
  <si>
    <t>FD62</t>
  </si>
  <si>
    <t>FD63</t>
  </si>
  <si>
    <t>FD64</t>
  </si>
  <si>
    <t>FD65</t>
  </si>
  <si>
    <t>FD66</t>
  </si>
  <si>
    <t>FD67</t>
  </si>
  <si>
    <t>FD68</t>
  </si>
  <si>
    <t>FD69</t>
  </si>
  <si>
    <t>FD7</t>
  </si>
  <si>
    <t>FD70</t>
  </si>
  <si>
    <t>FD71</t>
  </si>
  <si>
    <t>FD72</t>
  </si>
  <si>
    <t>FD73</t>
  </si>
  <si>
    <t>FD74</t>
  </si>
  <si>
    <t>FD75</t>
  </si>
  <si>
    <t>FD76</t>
  </si>
  <si>
    <t>FD77</t>
  </si>
  <si>
    <t>FD78</t>
  </si>
  <si>
    <t>FD79</t>
  </si>
  <si>
    <t>FD8</t>
  </si>
  <si>
    <t>FD80</t>
  </si>
  <si>
    <t>FD81</t>
  </si>
  <si>
    <t>FD82</t>
  </si>
  <si>
    <t>FD83</t>
  </si>
  <si>
    <t>FD84</t>
  </si>
  <si>
    <t>FD85</t>
  </si>
  <si>
    <t>FD86</t>
  </si>
  <si>
    <t>FD87</t>
  </si>
  <si>
    <t>FD88</t>
  </si>
  <si>
    <t>FD89</t>
  </si>
  <si>
    <t>FD9</t>
  </si>
  <si>
    <t>FD90</t>
  </si>
  <si>
    <t>FD91</t>
  </si>
  <si>
    <t>FD92</t>
  </si>
  <si>
    <t>FD93</t>
  </si>
  <si>
    <t>FD94</t>
  </si>
  <si>
    <t>FD95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</si>
  <si>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</si>
  <si>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</si>
  <si>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</si>
  <si>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</si>
  <si>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</si>
  <si>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</si>
  <si>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</si>
  <si>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</si>
  <si>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</si>
  <si>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</si>
  <si>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</si>
  <si>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</si>
  <si>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</si>
  <si>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</si>
  <si>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</si>
  <si>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</si>
  <si>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</si>
  <si>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</si>
  <si>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</si>
  <si>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</si>
  <si>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</si>
  <si>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</si>
  <si>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</si>
  <si>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</si>
  <si>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</si>
  <si>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</si>
  <si>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</si>
  <si>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</si>
  <si>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</si>
  <si>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</si>
  <si>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</si>
  <si>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</si>
  <si>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</si>
  <si>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</si>
  <si>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</si>
  <si>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</si>
  <si>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</si>
  <si>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</si>
  <si>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</si>
  <si>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</si>
  <si>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</si>
  <si>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</si>
  <si>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</si>
  <si>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</si>
  <si>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</si>
  <si>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</si>
  <si>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</si>
  <si>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</si>
  <si>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</si>
  <si>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</si>
  <si>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</si>
  <si>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</si>
  <si>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</si>
  <si>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</si>
  <si>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</si>
  <si>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</si>
  <si>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</si>
  <si>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</si>
  <si>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</si>
  <si>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</si>
  <si>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</si>
  <si>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</si>
  <si>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</si>
  <si>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</si>
  <si>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</si>
  <si>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</si>
  <si>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</si>
  <si>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</si>
  <si>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</si>
  <si>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</si>
  <si>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</si>
  <si>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</si>
  <si>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</si>
  <si>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</si>
  <si>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</si>
  <si>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</si>
  <si>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</si>
  <si>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</si>
  <si>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</si>
  <si>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</si>
  <si>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</si>
  <si>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</si>
  <si>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</si>
  <si>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</si>
  <si>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</si>
  <si>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</si>
  <si>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</si>
  <si>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</si>
  <si>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</si>
  <si>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</si>
  <si>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</si>
  <si>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</si>
  <si>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</si>
  <si>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</si>
  <si>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</si>
  <si>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median reads end</t>
  </si>
  <si>
    <t>median reads start</t>
  </si>
  <si>
    <t>median perc</t>
  </si>
  <si>
    <t>average perc</t>
  </si>
  <si>
    <t>min percent</t>
  </si>
  <si>
    <t>max percent</t>
  </si>
  <si>
    <t>AVITI subsampled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</si>
</sst>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B5F8-ABD0-7343-B227-A4D1C5C89A58}">
  <dimension ref="A1:AH97"/>
  <sheetViews>
    <sheetView tabSelected="1" topLeftCell="G1" workbookViewId="0">
      <selection activeCell="AH2" sqref="AH2"/>
    </sheetView>
  </sheetViews>
  <sheetFormatPr baseColWidth="10" defaultRowHeight="16" x14ac:dyDescent="0.2"/>
  <cols>
    <col min="9" max="9" width="24.1640625" customWidth="1"/>
  </cols>
  <sheetData>
    <row r="1" spans="1:34" x14ac:dyDescent="0.2">
      <c r="A1" t="s">
        <v>0</v>
      </c>
      <c r="N1" t="s">
        <v>7</v>
      </c>
      <c r="Y1" t="s">
        <v>212</v>
      </c>
    </row>
    <row r="2" spans="1:34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13</v>
      </c>
      <c r="J2">
        <f>AVERAGE(H3:H94)</f>
        <v>69.892565785022541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8</v>
      </c>
      <c r="V2" t="s">
        <v>13</v>
      </c>
      <c r="W2">
        <f>AVERAGE(U3:U91)</f>
        <v>72.703550137412932</v>
      </c>
      <c r="Y2" s="1"/>
      <c r="Z2" s="1" t="s">
        <v>1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F2" t="s">
        <v>8</v>
      </c>
      <c r="AG2" t="s">
        <v>13</v>
      </c>
      <c r="AH2">
        <f>AVERAGE(AF3:AF91)</f>
        <v>74.076676656618488</v>
      </c>
    </row>
    <row r="3" spans="1:34" x14ac:dyDescent="0.2">
      <c r="A3" t="s">
        <v>16</v>
      </c>
      <c r="B3">
        <v>79363</v>
      </c>
      <c r="C3">
        <v>50800</v>
      </c>
      <c r="D3">
        <v>50019</v>
      </c>
      <c r="E3">
        <v>50265</v>
      </c>
      <c r="F3">
        <v>47887</v>
      </c>
      <c r="G3">
        <v>46544</v>
      </c>
      <c r="H3">
        <f>G3/B3*100</f>
        <v>58.646976550785638</v>
      </c>
      <c r="I3" t="s">
        <v>9</v>
      </c>
      <c r="J3">
        <f>STDEV(H3:H91)</f>
        <v>7.570376451155103</v>
      </c>
      <c r="L3">
        <f>B3/O3</f>
        <v>0.13657585472843323</v>
      </c>
      <c r="N3" t="s">
        <v>111</v>
      </c>
      <c r="O3">
        <v>581091</v>
      </c>
      <c r="P3">
        <v>383579</v>
      </c>
      <c r="Q3">
        <v>382473</v>
      </c>
      <c r="R3">
        <v>382566</v>
      </c>
      <c r="S3">
        <v>377351</v>
      </c>
      <c r="T3">
        <v>356551</v>
      </c>
      <c r="U3">
        <f>T3/O3*100</f>
        <v>61.358892152864186</v>
      </c>
      <c r="V3" t="s">
        <v>9</v>
      </c>
      <c r="W3">
        <f>STDEV(U3:U94)</f>
        <v>9.6484420102274839</v>
      </c>
      <c r="Y3" s="1" t="s">
        <v>111</v>
      </c>
      <c r="Z3" s="1">
        <v>79356</v>
      </c>
      <c r="AA3" s="1">
        <v>52267</v>
      </c>
      <c r="AB3" s="1">
        <v>52080</v>
      </c>
      <c r="AC3" s="1">
        <v>52058</v>
      </c>
      <c r="AD3" s="1">
        <v>51487</v>
      </c>
      <c r="AE3" s="1">
        <v>49740</v>
      </c>
      <c r="AF3">
        <f>AE3/Z3*100</f>
        <v>62.679570542870103</v>
      </c>
      <c r="AG3" t="s">
        <v>9</v>
      </c>
      <c r="AH3">
        <f>STDEV(AF3:AF94)</f>
        <v>9.6195809736334716</v>
      </c>
    </row>
    <row r="4" spans="1:34" x14ac:dyDescent="0.2">
      <c r="A4" t="s">
        <v>17</v>
      </c>
      <c r="B4">
        <v>76767</v>
      </c>
      <c r="C4">
        <v>63274</v>
      </c>
      <c r="D4">
        <v>62745</v>
      </c>
      <c r="E4">
        <v>62877</v>
      </c>
      <c r="F4">
        <v>60857</v>
      </c>
      <c r="G4">
        <v>59396</v>
      </c>
      <c r="H4">
        <f t="shared" ref="H4:H67" si="0">G4/B4*100</f>
        <v>77.371787356546434</v>
      </c>
      <c r="I4" t="s">
        <v>10</v>
      </c>
      <c r="J4">
        <f>MEDIAN(H3:H91)</f>
        <v>71.012579220280386</v>
      </c>
      <c r="L4">
        <f t="shared" ref="L4:L67" si="1">B4/O4</f>
        <v>0.12079304512017623</v>
      </c>
      <c r="N4" t="s">
        <v>112</v>
      </c>
      <c r="O4">
        <v>635525</v>
      </c>
      <c r="P4">
        <v>538919</v>
      </c>
      <c r="Q4">
        <v>538457</v>
      </c>
      <c r="R4">
        <v>538266</v>
      </c>
      <c r="S4">
        <v>534712</v>
      </c>
      <c r="T4">
        <v>509395</v>
      </c>
      <c r="U4">
        <f t="shared" ref="U4:U67" si="2">T4/O4*100</f>
        <v>80.153416466700762</v>
      </c>
      <c r="V4" t="s">
        <v>10</v>
      </c>
      <c r="W4">
        <f>MEDIAN(U3:U91)</f>
        <v>71.965824112894126</v>
      </c>
      <c r="Y4" s="1" t="s">
        <v>112</v>
      </c>
      <c r="Z4" s="1">
        <v>76725</v>
      </c>
      <c r="AA4" s="1">
        <v>65119</v>
      </c>
      <c r="AB4" s="1">
        <v>64978</v>
      </c>
      <c r="AC4" s="1">
        <v>65030</v>
      </c>
      <c r="AD4" s="1">
        <v>64672</v>
      </c>
      <c r="AE4" s="1">
        <v>62114</v>
      </c>
      <c r="AF4">
        <f t="shared" ref="AF4:AF67" si="3">AE4/Z4*100</f>
        <v>80.956663408276313</v>
      </c>
      <c r="AG4" t="s">
        <v>10</v>
      </c>
      <c r="AH4">
        <f>MEDIAN(AF3:AF91)</f>
        <v>73.171493435514293</v>
      </c>
    </row>
    <row r="5" spans="1:34" x14ac:dyDescent="0.2">
      <c r="A5" t="s">
        <v>18</v>
      </c>
      <c r="B5">
        <v>80235</v>
      </c>
      <c r="C5">
        <v>62673</v>
      </c>
      <c r="D5">
        <v>62120</v>
      </c>
      <c r="E5">
        <v>62266</v>
      </c>
      <c r="F5">
        <v>60319</v>
      </c>
      <c r="G5">
        <v>58589</v>
      </c>
      <c r="H5">
        <f t="shared" si="0"/>
        <v>73.021748613447997</v>
      </c>
      <c r="I5" t="s">
        <v>11</v>
      </c>
      <c r="J5">
        <f>MIN(H3:H91)</f>
        <v>53.866230997589206</v>
      </c>
      <c r="L5">
        <f t="shared" si="1"/>
        <v>0.12405683715752365</v>
      </c>
      <c r="N5" t="s">
        <v>113</v>
      </c>
      <c r="O5">
        <v>646760</v>
      </c>
      <c r="P5">
        <v>471942</v>
      </c>
      <c r="Q5">
        <v>469596</v>
      </c>
      <c r="R5">
        <v>471180</v>
      </c>
      <c r="S5">
        <v>461850</v>
      </c>
      <c r="T5">
        <v>438449</v>
      </c>
      <c r="U5">
        <f t="shared" si="2"/>
        <v>67.79160739687056</v>
      </c>
      <c r="V5" t="s">
        <v>11</v>
      </c>
      <c r="W5">
        <f>MIN(U3:U91)</f>
        <v>56.461120739456959</v>
      </c>
      <c r="Y5" s="1" t="s">
        <v>113</v>
      </c>
      <c r="Z5" s="1">
        <v>80076</v>
      </c>
      <c r="AA5" s="1">
        <v>58562</v>
      </c>
      <c r="AB5" s="1">
        <v>58392</v>
      </c>
      <c r="AC5" s="1">
        <v>58449</v>
      </c>
      <c r="AD5" s="1">
        <v>57937</v>
      </c>
      <c r="AE5" s="1">
        <v>55903</v>
      </c>
      <c r="AF5">
        <f t="shared" si="3"/>
        <v>69.812428193216448</v>
      </c>
      <c r="AG5" t="s">
        <v>11</v>
      </c>
      <c r="AH5">
        <f>MIN(AF3:AF91)</f>
        <v>57.763906921002693</v>
      </c>
    </row>
    <row r="6" spans="1:34" x14ac:dyDescent="0.2">
      <c r="A6" t="s">
        <v>19</v>
      </c>
      <c r="B6">
        <v>101086</v>
      </c>
      <c r="C6">
        <v>90702</v>
      </c>
      <c r="D6">
        <v>89853</v>
      </c>
      <c r="E6">
        <v>90053</v>
      </c>
      <c r="F6">
        <v>85622</v>
      </c>
      <c r="G6">
        <v>82389</v>
      </c>
      <c r="H6">
        <f t="shared" si="0"/>
        <v>81.503867993589623</v>
      </c>
      <c r="I6" t="s">
        <v>12</v>
      </c>
      <c r="J6">
        <f>MAX(H3:H91)</f>
        <v>82.246284770735429</v>
      </c>
      <c r="L6">
        <f t="shared" si="1"/>
        <v>0.12847541725342268</v>
      </c>
      <c r="N6" t="s">
        <v>114</v>
      </c>
      <c r="O6">
        <v>786812</v>
      </c>
      <c r="P6">
        <v>727623</v>
      </c>
      <c r="Q6">
        <v>725822</v>
      </c>
      <c r="R6">
        <v>726844</v>
      </c>
      <c r="S6">
        <v>716506</v>
      </c>
      <c r="T6">
        <v>674106</v>
      </c>
      <c r="U6">
        <f t="shared" si="2"/>
        <v>85.675612471594235</v>
      </c>
      <c r="V6" t="s">
        <v>12</v>
      </c>
      <c r="W6">
        <f>MAX(U3:U91)</f>
        <v>86.065443902551436</v>
      </c>
      <c r="Y6" s="1" t="s">
        <v>114</v>
      </c>
      <c r="Z6" s="1">
        <v>100778</v>
      </c>
      <c r="AA6" s="1">
        <v>93226</v>
      </c>
      <c r="AB6" s="1">
        <v>93055</v>
      </c>
      <c r="AC6" s="1">
        <v>93099</v>
      </c>
      <c r="AD6" s="1">
        <v>92197</v>
      </c>
      <c r="AE6" s="1">
        <v>87867</v>
      </c>
      <c r="AF6">
        <f t="shared" si="3"/>
        <v>87.188672130822198</v>
      </c>
      <c r="AG6" t="s">
        <v>12</v>
      </c>
      <c r="AH6">
        <f>MAX(AF3:AF91)</f>
        <v>87.188672130822198</v>
      </c>
    </row>
    <row r="7" spans="1:34" x14ac:dyDescent="0.2">
      <c r="A7" t="s">
        <v>20</v>
      </c>
      <c r="B7">
        <v>74032</v>
      </c>
      <c r="C7">
        <v>53761</v>
      </c>
      <c r="D7">
        <v>52969</v>
      </c>
      <c r="E7">
        <v>53185</v>
      </c>
      <c r="F7">
        <v>51258</v>
      </c>
      <c r="G7">
        <v>49857</v>
      </c>
      <c r="H7">
        <f t="shared" si="0"/>
        <v>67.34520207477847</v>
      </c>
      <c r="L7">
        <f t="shared" si="1"/>
        <v>0.1330147151301723</v>
      </c>
      <c r="N7" t="s">
        <v>115</v>
      </c>
      <c r="O7">
        <v>556570</v>
      </c>
      <c r="P7">
        <v>421501</v>
      </c>
      <c r="Q7">
        <v>420944</v>
      </c>
      <c r="R7">
        <v>420686</v>
      </c>
      <c r="S7">
        <v>416956</v>
      </c>
      <c r="T7">
        <v>395960</v>
      </c>
      <c r="U7">
        <f t="shared" si="2"/>
        <v>71.142893077240956</v>
      </c>
      <c r="Y7" s="1" t="s">
        <v>115</v>
      </c>
      <c r="Z7" s="1">
        <v>73946</v>
      </c>
      <c r="AA7" s="1">
        <v>55929</v>
      </c>
      <c r="AB7" s="1">
        <v>55846</v>
      </c>
      <c r="AC7" s="1">
        <v>55824</v>
      </c>
      <c r="AD7" s="1">
        <v>55543</v>
      </c>
      <c r="AE7" s="1">
        <v>53654</v>
      </c>
      <c r="AF7">
        <f t="shared" si="3"/>
        <v>72.558353393016532</v>
      </c>
    </row>
    <row r="8" spans="1:34" x14ac:dyDescent="0.2">
      <c r="A8" t="s">
        <v>21</v>
      </c>
      <c r="B8">
        <v>90090</v>
      </c>
      <c r="C8">
        <v>67925</v>
      </c>
      <c r="D8">
        <v>67256</v>
      </c>
      <c r="E8">
        <v>67419</v>
      </c>
      <c r="F8">
        <v>65769</v>
      </c>
      <c r="G8">
        <v>64487</v>
      </c>
      <c r="H8">
        <f t="shared" si="0"/>
        <v>71.580641580641583</v>
      </c>
      <c r="L8">
        <f t="shared" si="1"/>
        <v>0.14256980128216287</v>
      </c>
      <c r="N8" t="s">
        <v>116</v>
      </c>
      <c r="O8">
        <v>631901</v>
      </c>
      <c r="P8">
        <v>502191</v>
      </c>
      <c r="Q8">
        <v>501853</v>
      </c>
      <c r="R8">
        <v>500791</v>
      </c>
      <c r="S8">
        <v>497159</v>
      </c>
      <c r="T8">
        <v>478601</v>
      </c>
      <c r="U8">
        <f t="shared" si="2"/>
        <v>75.739870644293958</v>
      </c>
      <c r="Y8" s="1" t="s">
        <v>116</v>
      </c>
      <c r="Z8" s="1">
        <v>90001</v>
      </c>
      <c r="AA8" s="1">
        <v>71575</v>
      </c>
      <c r="AB8" s="1">
        <v>71472</v>
      </c>
      <c r="AC8" s="1">
        <v>71445</v>
      </c>
      <c r="AD8" s="1">
        <v>71170</v>
      </c>
      <c r="AE8" s="1">
        <v>69365</v>
      </c>
      <c r="AF8">
        <f t="shared" si="3"/>
        <v>77.071365873712523</v>
      </c>
    </row>
    <row r="9" spans="1:34" x14ac:dyDescent="0.2">
      <c r="A9" t="s">
        <v>22</v>
      </c>
      <c r="B9">
        <v>97475</v>
      </c>
      <c r="C9">
        <v>76976</v>
      </c>
      <c r="D9">
        <v>76386</v>
      </c>
      <c r="E9">
        <v>76533</v>
      </c>
      <c r="F9">
        <v>74865</v>
      </c>
      <c r="G9">
        <v>73410</v>
      </c>
      <c r="H9">
        <f t="shared" si="0"/>
        <v>75.311618363682996</v>
      </c>
      <c r="L9">
        <f t="shared" si="1"/>
        <v>0.14207236909228182</v>
      </c>
      <c r="N9" t="s">
        <v>117</v>
      </c>
      <c r="O9">
        <v>686094</v>
      </c>
      <c r="P9">
        <v>551605</v>
      </c>
      <c r="Q9">
        <v>550915</v>
      </c>
      <c r="R9">
        <v>549733</v>
      </c>
      <c r="S9">
        <v>544499</v>
      </c>
      <c r="T9">
        <v>524237</v>
      </c>
      <c r="U9">
        <f t="shared" si="2"/>
        <v>76.40891772847452</v>
      </c>
      <c r="Y9" s="1" t="s">
        <v>117</v>
      </c>
      <c r="Z9" s="1">
        <v>97272</v>
      </c>
      <c r="AA9" s="1">
        <v>78156</v>
      </c>
      <c r="AB9" s="1">
        <v>77973</v>
      </c>
      <c r="AC9" s="1">
        <v>78048</v>
      </c>
      <c r="AD9" s="1">
        <v>77640</v>
      </c>
      <c r="AE9" s="1">
        <v>75752</v>
      </c>
      <c r="AF9">
        <f t="shared" si="3"/>
        <v>77.876470104449382</v>
      </c>
    </row>
    <row r="10" spans="1:34" x14ac:dyDescent="0.2">
      <c r="A10" t="s">
        <v>23</v>
      </c>
      <c r="B10">
        <v>93642</v>
      </c>
      <c r="C10">
        <v>64647</v>
      </c>
      <c r="D10">
        <v>63724</v>
      </c>
      <c r="E10">
        <v>63775</v>
      </c>
      <c r="F10">
        <v>61503</v>
      </c>
      <c r="G10">
        <v>59373</v>
      </c>
      <c r="H10">
        <f t="shared" si="0"/>
        <v>63.404241686422758</v>
      </c>
      <c r="L10">
        <f t="shared" si="1"/>
        <v>0.14009979129107789</v>
      </c>
      <c r="N10" t="s">
        <v>118</v>
      </c>
      <c r="O10">
        <v>668395</v>
      </c>
      <c r="P10">
        <v>454643</v>
      </c>
      <c r="Q10">
        <v>453682</v>
      </c>
      <c r="R10">
        <v>453988</v>
      </c>
      <c r="S10">
        <v>449770</v>
      </c>
      <c r="T10">
        <v>424041</v>
      </c>
      <c r="U10">
        <f t="shared" si="2"/>
        <v>63.441677451207745</v>
      </c>
      <c r="Y10" s="1" t="s">
        <v>118</v>
      </c>
      <c r="Z10" s="1">
        <v>93408</v>
      </c>
      <c r="AA10" s="1">
        <v>63452</v>
      </c>
      <c r="AB10" s="1">
        <v>63264</v>
      </c>
      <c r="AC10" s="1">
        <v>63298</v>
      </c>
      <c r="AD10" s="1">
        <v>62841</v>
      </c>
      <c r="AE10" s="1">
        <v>60134</v>
      </c>
      <c r="AF10">
        <f t="shared" si="3"/>
        <v>64.377783487495719</v>
      </c>
    </row>
    <row r="11" spans="1:34" x14ac:dyDescent="0.2">
      <c r="A11" t="s">
        <v>24</v>
      </c>
      <c r="B11">
        <v>83928</v>
      </c>
      <c r="C11">
        <v>71363</v>
      </c>
      <c r="D11">
        <v>70679</v>
      </c>
      <c r="E11">
        <v>70880</v>
      </c>
      <c r="F11">
        <v>67834</v>
      </c>
      <c r="G11">
        <v>65622</v>
      </c>
      <c r="H11">
        <f t="shared" si="0"/>
        <v>78.188447240491854</v>
      </c>
      <c r="I11" t="s">
        <v>14</v>
      </c>
      <c r="J11">
        <f>AVERAGE(B3:B91)</f>
        <v>92388.112359550563</v>
      </c>
      <c r="L11">
        <f t="shared" si="1"/>
        <v>0.15897532063849254</v>
      </c>
      <c r="N11" t="s">
        <v>119</v>
      </c>
      <c r="O11">
        <v>527931</v>
      </c>
      <c r="P11">
        <v>464480</v>
      </c>
      <c r="Q11">
        <v>463898</v>
      </c>
      <c r="R11">
        <v>463877</v>
      </c>
      <c r="S11">
        <v>459560</v>
      </c>
      <c r="T11">
        <v>434093</v>
      </c>
      <c r="U11">
        <f t="shared" si="2"/>
        <v>82.225328688786988</v>
      </c>
      <c r="V11" t="s">
        <v>14</v>
      </c>
      <c r="W11">
        <f>AVERAGE(O3:O91)</f>
        <v>694680.11235955055</v>
      </c>
      <c r="Y11" s="1" t="s">
        <v>119</v>
      </c>
      <c r="Z11" s="1">
        <v>83911</v>
      </c>
      <c r="AA11" s="1">
        <v>73826</v>
      </c>
      <c r="AB11" s="1">
        <v>73713</v>
      </c>
      <c r="AC11" s="1">
        <v>73742</v>
      </c>
      <c r="AD11" s="1">
        <v>73271</v>
      </c>
      <c r="AE11" s="1">
        <v>70360</v>
      </c>
      <c r="AF11">
        <f t="shared" si="3"/>
        <v>83.850746624399662</v>
      </c>
      <c r="AG11" t="s">
        <v>14</v>
      </c>
      <c r="AH11">
        <f>AVERAGE(Z3:Z91)</f>
        <v>92219.471910112363</v>
      </c>
    </row>
    <row r="12" spans="1:34" x14ac:dyDescent="0.2">
      <c r="A12" t="s">
        <v>25</v>
      </c>
      <c r="B12">
        <v>100505</v>
      </c>
      <c r="C12">
        <v>86508</v>
      </c>
      <c r="D12">
        <v>85283</v>
      </c>
      <c r="E12">
        <v>85987</v>
      </c>
      <c r="F12">
        <v>82950</v>
      </c>
      <c r="G12">
        <v>80210</v>
      </c>
      <c r="H12">
        <f t="shared" si="0"/>
        <v>79.806974777374265</v>
      </c>
      <c r="I12" t="s">
        <v>15</v>
      </c>
      <c r="J12">
        <f>AVERAGE(G3:G91)</f>
        <v>65079.84269662921</v>
      </c>
      <c r="L12">
        <f t="shared" si="1"/>
        <v>0.14308411361309986</v>
      </c>
      <c r="N12" t="s">
        <v>120</v>
      </c>
      <c r="O12">
        <v>702419</v>
      </c>
      <c r="P12">
        <v>629236</v>
      </c>
      <c r="Q12">
        <v>628676</v>
      </c>
      <c r="R12">
        <v>628150</v>
      </c>
      <c r="S12">
        <v>624165</v>
      </c>
      <c r="T12">
        <v>591216</v>
      </c>
      <c r="U12">
        <f t="shared" si="2"/>
        <v>84.168566055303174</v>
      </c>
      <c r="V12" t="s">
        <v>15</v>
      </c>
      <c r="W12">
        <f>AVERAGE(T3:T91)</f>
        <v>507618.48314606742</v>
      </c>
      <c r="Y12" s="1" t="s">
        <v>120</v>
      </c>
      <c r="Z12" s="1">
        <v>100356</v>
      </c>
      <c r="AA12" s="1">
        <v>89692</v>
      </c>
      <c r="AB12" s="1">
        <v>89626</v>
      </c>
      <c r="AC12" s="1">
        <v>89610</v>
      </c>
      <c r="AD12" s="1">
        <v>89297</v>
      </c>
      <c r="AE12" s="1">
        <v>85537</v>
      </c>
      <c r="AF12">
        <f t="shared" si="3"/>
        <v>85.233568496153694</v>
      </c>
      <c r="AG12" t="s">
        <v>15</v>
      </c>
      <c r="AH12">
        <f>AVERAGE(AE3:AE91)</f>
        <v>68548.325842696635</v>
      </c>
    </row>
    <row r="13" spans="1:34" x14ac:dyDescent="0.2">
      <c r="A13" t="s">
        <v>26</v>
      </c>
      <c r="B13">
        <v>93397</v>
      </c>
      <c r="C13">
        <v>72465</v>
      </c>
      <c r="D13">
        <v>71964</v>
      </c>
      <c r="E13">
        <v>71914</v>
      </c>
      <c r="F13">
        <v>70306</v>
      </c>
      <c r="G13">
        <v>68270</v>
      </c>
      <c r="H13">
        <f t="shared" si="0"/>
        <v>73.096566270865225</v>
      </c>
      <c r="I13" t="s">
        <v>207</v>
      </c>
      <c r="J13">
        <f>MEDIAN(B3:B91)</f>
        <v>92947</v>
      </c>
      <c r="L13">
        <f t="shared" si="1"/>
        <v>0.13046150493716274</v>
      </c>
      <c r="N13" t="s">
        <v>121</v>
      </c>
      <c r="O13">
        <v>715897</v>
      </c>
      <c r="P13">
        <v>583839</v>
      </c>
      <c r="Q13">
        <v>583415</v>
      </c>
      <c r="R13">
        <v>582575</v>
      </c>
      <c r="S13">
        <v>578918</v>
      </c>
      <c r="T13">
        <v>550989</v>
      </c>
      <c r="U13">
        <f t="shared" si="2"/>
        <v>76.964842707819699</v>
      </c>
      <c r="Y13" s="1" t="s">
        <v>121</v>
      </c>
      <c r="Z13" s="1">
        <v>93258</v>
      </c>
      <c r="AA13" s="1">
        <v>76069</v>
      </c>
      <c r="AB13" s="1">
        <v>75977</v>
      </c>
      <c r="AC13" s="1">
        <v>75986</v>
      </c>
      <c r="AD13" s="1">
        <v>75661</v>
      </c>
      <c r="AE13" s="1">
        <v>72839</v>
      </c>
      <c r="AF13">
        <f t="shared" si="3"/>
        <v>78.104827467884803</v>
      </c>
    </row>
    <row r="14" spans="1:34" x14ac:dyDescent="0.2">
      <c r="A14" t="s">
        <v>27</v>
      </c>
      <c r="B14">
        <v>100645</v>
      </c>
      <c r="C14">
        <v>62315</v>
      </c>
      <c r="D14">
        <v>61312</v>
      </c>
      <c r="E14">
        <v>61445</v>
      </c>
      <c r="F14">
        <v>58587</v>
      </c>
      <c r="G14">
        <v>56741</v>
      </c>
      <c r="H14">
        <f t="shared" si="0"/>
        <v>56.377365989368577</v>
      </c>
      <c r="I14" t="s">
        <v>206</v>
      </c>
      <c r="J14">
        <f>MEDIAN(G3:G91)</f>
        <v>64714</v>
      </c>
      <c r="L14">
        <f t="shared" si="1"/>
        <v>0.13648112086874922</v>
      </c>
      <c r="N14" t="s">
        <v>122</v>
      </c>
      <c r="O14">
        <v>737428</v>
      </c>
      <c r="P14">
        <v>474687</v>
      </c>
      <c r="Q14">
        <v>473053</v>
      </c>
      <c r="R14">
        <v>473343</v>
      </c>
      <c r="S14">
        <v>466380</v>
      </c>
      <c r="T14">
        <v>437639</v>
      </c>
      <c r="U14">
        <f t="shared" si="2"/>
        <v>59.346675200833168</v>
      </c>
      <c r="Y14" s="1" t="s">
        <v>122</v>
      </c>
      <c r="Z14" s="1">
        <v>100451</v>
      </c>
      <c r="AA14" s="1">
        <v>64641</v>
      </c>
      <c r="AB14" s="1">
        <v>64402</v>
      </c>
      <c r="AC14" s="1">
        <v>64351</v>
      </c>
      <c r="AD14" s="1">
        <v>63613</v>
      </c>
      <c r="AE14" s="1">
        <v>60856</v>
      </c>
      <c r="AF14">
        <f t="shared" si="3"/>
        <v>60.582771699634655</v>
      </c>
    </row>
    <row r="15" spans="1:34" x14ac:dyDescent="0.2">
      <c r="A15" t="s">
        <v>28</v>
      </c>
      <c r="B15">
        <v>83352</v>
      </c>
      <c r="C15">
        <v>59631</v>
      </c>
      <c r="D15">
        <v>59144</v>
      </c>
      <c r="E15">
        <v>59117</v>
      </c>
      <c r="F15">
        <v>57481</v>
      </c>
      <c r="G15">
        <v>56178</v>
      </c>
      <c r="H15">
        <f t="shared" si="0"/>
        <v>67.398502735387282</v>
      </c>
      <c r="L15">
        <f t="shared" si="1"/>
        <v>0.12345536384762701</v>
      </c>
      <c r="N15" t="s">
        <v>123</v>
      </c>
      <c r="O15">
        <v>675159</v>
      </c>
      <c r="P15">
        <v>501198</v>
      </c>
      <c r="Q15">
        <v>500655</v>
      </c>
      <c r="R15">
        <v>500125</v>
      </c>
      <c r="S15">
        <v>496230</v>
      </c>
      <c r="T15">
        <v>473567</v>
      </c>
      <c r="U15">
        <f t="shared" si="2"/>
        <v>70.141551841862437</v>
      </c>
      <c r="Y15" s="1" t="s">
        <v>123</v>
      </c>
      <c r="Z15" s="1">
        <v>83164</v>
      </c>
      <c r="AA15" s="1">
        <v>61709</v>
      </c>
      <c r="AB15" s="1">
        <v>61603</v>
      </c>
      <c r="AC15" s="1">
        <v>61588</v>
      </c>
      <c r="AD15" s="1">
        <v>61289</v>
      </c>
      <c r="AE15" s="1">
        <v>59367</v>
      </c>
      <c r="AF15">
        <f t="shared" si="3"/>
        <v>71.385455245057955</v>
      </c>
    </row>
    <row r="16" spans="1:34" x14ac:dyDescent="0.2">
      <c r="A16" t="s">
        <v>29</v>
      </c>
      <c r="B16">
        <v>72853</v>
      </c>
      <c r="C16">
        <v>45934</v>
      </c>
      <c r="D16">
        <v>45124</v>
      </c>
      <c r="E16">
        <v>45354</v>
      </c>
      <c r="F16">
        <v>43245</v>
      </c>
      <c r="G16">
        <v>41764</v>
      </c>
      <c r="H16">
        <f t="shared" si="0"/>
        <v>57.326396991201456</v>
      </c>
      <c r="L16">
        <f t="shared" si="1"/>
        <v>0.12527943816592266</v>
      </c>
      <c r="N16" t="s">
        <v>124</v>
      </c>
      <c r="O16">
        <v>581524</v>
      </c>
      <c r="P16">
        <v>376636</v>
      </c>
      <c r="Q16">
        <v>375828</v>
      </c>
      <c r="R16">
        <v>375876</v>
      </c>
      <c r="S16">
        <v>371076</v>
      </c>
      <c r="T16">
        <v>348185</v>
      </c>
      <c r="U16">
        <f t="shared" si="2"/>
        <v>59.874570954939088</v>
      </c>
      <c r="Y16" s="1" t="s">
        <v>124</v>
      </c>
      <c r="Z16" s="1">
        <v>72805</v>
      </c>
      <c r="AA16" s="1">
        <v>46899</v>
      </c>
      <c r="AB16" s="1">
        <v>46762</v>
      </c>
      <c r="AC16" s="1">
        <v>46715</v>
      </c>
      <c r="AD16" s="1">
        <v>46236</v>
      </c>
      <c r="AE16" s="1">
        <v>44231</v>
      </c>
      <c r="AF16">
        <f t="shared" si="3"/>
        <v>60.752695556623863</v>
      </c>
    </row>
    <row r="17" spans="1:32" x14ac:dyDescent="0.2">
      <c r="A17" t="s">
        <v>30</v>
      </c>
      <c r="B17">
        <v>91669</v>
      </c>
      <c r="C17">
        <v>76375</v>
      </c>
      <c r="D17">
        <v>75543</v>
      </c>
      <c r="E17">
        <v>75741</v>
      </c>
      <c r="F17">
        <v>72818</v>
      </c>
      <c r="G17">
        <v>70341</v>
      </c>
      <c r="H17">
        <f t="shared" si="0"/>
        <v>76.733683142610914</v>
      </c>
      <c r="J17" t="s">
        <v>208</v>
      </c>
      <c r="K17">
        <f>MEDIAN(L3:L91)</f>
        <v>0.13356981019945771</v>
      </c>
      <c r="L17">
        <f t="shared" si="1"/>
        <v>0.12722581683834774</v>
      </c>
      <c r="N17" t="s">
        <v>125</v>
      </c>
      <c r="O17">
        <v>720522</v>
      </c>
      <c r="P17">
        <v>611837</v>
      </c>
      <c r="Q17">
        <v>611215</v>
      </c>
      <c r="R17">
        <v>611032</v>
      </c>
      <c r="S17">
        <v>605257</v>
      </c>
      <c r="T17">
        <v>572136</v>
      </c>
      <c r="U17">
        <f t="shared" si="2"/>
        <v>79.405764154321446</v>
      </c>
      <c r="Y17" s="1" t="s">
        <v>125</v>
      </c>
      <c r="Z17" s="1">
        <v>91533</v>
      </c>
      <c r="AA17" s="1">
        <v>77760</v>
      </c>
      <c r="AB17" s="1">
        <v>77682</v>
      </c>
      <c r="AC17" s="1">
        <v>77658</v>
      </c>
      <c r="AD17" s="1">
        <v>77172</v>
      </c>
      <c r="AE17" s="1">
        <v>74016</v>
      </c>
      <c r="AF17">
        <f t="shared" si="3"/>
        <v>80.862639703713413</v>
      </c>
    </row>
    <row r="18" spans="1:32" x14ac:dyDescent="0.2">
      <c r="A18" t="s">
        <v>31</v>
      </c>
      <c r="B18">
        <v>79864</v>
      </c>
      <c r="C18">
        <v>63479</v>
      </c>
      <c r="D18">
        <v>62770</v>
      </c>
      <c r="E18">
        <v>62913</v>
      </c>
      <c r="F18">
        <v>61142</v>
      </c>
      <c r="G18">
        <v>59277</v>
      </c>
      <c r="H18">
        <f t="shared" si="0"/>
        <v>74.222428127817281</v>
      </c>
      <c r="J18" t="s">
        <v>209</v>
      </c>
      <c r="K18">
        <f>AVERAGE(L3:L91)</f>
        <v>0.13506555474765006</v>
      </c>
      <c r="L18">
        <f t="shared" si="1"/>
        <v>0.14649590396982914</v>
      </c>
      <c r="N18" t="s">
        <v>126</v>
      </c>
      <c r="O18">
        <v>545162</v>
      </c>
      <c r="P18">
        <v>453404</v>
      </c>
      <c r="Q18">
        <v>453033</v>
      </c>
      <c r="R18">
        <v>452682</v>
      </c>
      <c r="S18">
        <v>449995</v>
      </c>
      <c r="T18">
        <v>427832</v>
      </c>
      <c r="U18">
        <f t="shared" si="2"/>
        <v>78.477957010943527</v>
      </c>
      <c r="Y18" s="1" t="s">
        <v>126</v>
      </c>
      <c r="Z18" s="1">
        <v>79770</v>
      </c>
      <c r="AA18" s="1">
        <v>66338</v>
      </c>
      <c r="AB18" s="1">
        <v>66280</v>
      </c>
      <c r="AC18" s="1">
        <v>66259</v>
      </c>
      <c r="AD18" s="1">
        <v>66013</v>
      </c>
      <c r="AE18" s="1">
        <v>63457</v>
      </c>
      <c r="AF18">
        <f t="shared" si="3"/>
        <v>79.549956123856091</v>
      </c>
    </row>
    <row r="19" spans="1:32" x14ac:dyDescent="0.2">
      <c r="A19" t="s">
        <v>32</v>
      </c>
      <c r="B19">
        <v>82602</v>
      </c>
      <c r="C19">
        <v>62468</v>
      </c>
      <c r="D19">
        <v>61802</v>
      </c>
      <c r="E19">
        <v>62080</v>
      </c>
      <c r="F19">
        <v>60575</v>
      </c>
      <c r="G19">
        <v>59228</v>
      </c>
      <c r="H19">
        <f t="shared" si="0"/>
        <v>71.70286433742524</v>
      </c>
      <c r="J19" t="s">
        <v>210</v>
      </c>
      <c r="K19">
        <f>MIN(L3:L91)</f>
        <v>0.10381158250129721</v>
      </c>
      <c r="L19">
        <f t="shared" si="1"/>
        <v>0.11992282151531737</v>
      </c>
      <c r="N19" t="s">
        <v>127</v>
      </c>
      <c r="O19">
        <v>688793</v>
      </c>
      <c r="P19">
        <v>536737</v>
      </c>
      <c r="Q19">
        <v>536304</v>
      </c>
      <c r="R19">
        <v>535390</v>
      </c>
      <c r="S19">
        <v>531590</v>
      </c>
      <c r="T19">
        <v>510313</v>
      </c>
      <c r="U19">
        <f t="shared" si="2"/>
        <v>74.088006120851986</v>
      </c>
      <c r="Y19" s="1" t="s">
        <v>127</v>
      </c>
      <c r="Z19" s="1">
        <v>82530</v>
      </c>
      <c r="AA19" s="1">
        <v>64278</v>
      </c>
      <c r="AB19" s="1">
        <v>64174</v>
      </c>
      <c r="AC19" s="1">
        <v>64167</v>
      </c>
      <c r="AD19" s="1">
        <v>63913</v>
      </c>
      <c r="AE19" s="1">
        <v>62114</v>
      </c>
      <c r="AF19">
        <f t="shared" si="3"/>
        <v>75.262328850115111</v>
      </c>
    </row>
    <row r="20" spans="1:32" x14ac:dyDescent="0.2">
      <c r="A20" t="s">
        <v>33</v>
      </c>
      <c r="B20">
        <v>77734</v>
      </c>
      <c r="C20">
        <v>48888</v>
      </c>
      <c r="D20">
        <v>48224</v>
      </c>
      <c r="E20">
        <v>48465</v>
      </c>
      <c r="F20">
        <v>46561</v>
      </c>
      <c r="G20">
        <v>45403</v>
      </c>
      <c r="H20">
        <f t="shared" si="0"/>
        <v>58.408161164998582</v>
      </c>
      <c r="J20" t="s">
        <v>211</v>
      </c>
      <c r="K20">
        <f>MAX(L3:L91)</f>
        <v>0.26498323619240743</v>
      </c>
      <c r="L20">
        <f t="shared" si="1"/>
        <v>0.13838296266362368</v>
      </c>
      <c r="N20" t="s">
        <v>128</v>
      </c>
      <c r="O20">
        <v>561731</v>
      </c>
      <c r="P20">
        <v>371727</v>
      </c>
      <c r="Q20">
        <v>371113</v>
      </c>
      <c r="R20">
        <v>371152</v>
      </c>
      <c r="S20">
        <v>367887</v>
      </c>
      <c r="T20">
        <v>346754</v>
      </c>
      <c r="U20">
        <f t="shared" si="2"/>
        <v>61.729546704739455</v>
      </c>
      <c r="Y20" s="1" t="s">
        <v>128</v>
      </c>
      <c r="Z20" s="1">
        <v>77592</v>
      </c>
      <c r="AA20" s="1">
        <v>51328</v>
      </c>
      <c r="AB20" s="1">
        <v>51212</v>
      </c>
      <c r="AC20" s="1">
        <v>51173</v>
      </c>
      <c r="AD20" s="1">
        <v>50765</v>
      </c>
      <c r="AE20" s="1">
        <v>48938</v>
      </c>
      <c r="AF20">
        <f t="shared" si="3"/>
        <v>63.070935147953399</v>
      </c>
    </row>
    <row r="21" spans="1:32" x14ac:dyDescent="0.2">
      <c r="A21" t="s">
        <v>34</v>
      </c>
      <c r="B21">
        <v>103013</v>
      </c>
      <c r="C21">
        <v>76290</v>
      </c>
      <c r="D21">
        <v>75680</v>
      </c>
      <c r="E21">
        <v>75706</v>
      </c>
      <c r="F21">
        <v>73577</v>
      </c>
      <c r="G21">
        <v>71164</v>
      </c>
      <c r="H21">
        <f t="shared" si="0"/>
        <v>69.082542980012235</v>
      </c>
      <c r="L21">
        <f t="shared" si="1"/>
        <v>0.12973749733945752</v>
      </c>
      <c r="N21" t="s">
        <v>129</v>
      </c>
      <c r="O21">
        <v>794011</v>
      </c>
      <c r="P21">
        <v>570617</v>
      </c>
      <c r="Q21">
        <v>568597</v>
      </c>
      <c r="R21">
        <v>569372</v>
      </c>
      <c r="S21">
        <v>559894</v>
      </c>
      <c r="T21">
        <v>529087</v>
      </c>
      <c r="U21">
        <f t="shared" si="2"/>
        <v>66.634719166359162</v>
      </c>
      <c r="Y21" s="1" t="s">
        <v>129</v>
      </c>
      <c r="Z21" s="1">
        <v>102674</v>
      </c>
      <c r="AA21" s="1">
        <v>73877</v>
      </c>
      <c r="AB21" s="1">
        <v>73660</v>
      </c>
      <c r="AC21" s="1">
        <v>73731</v>
      </c>
      <c r="AD21" s="1">
        <v>73105</v>
      </c>
      <c r="AE21" s="1">
        <v>70141</v>
      </c>
      <c r="AF21">
        <f t="shared" si="3"/>
        <v>68.314276252994915</v>
      </c>
    </row>
    <row r="22" spans="1:32" x14ac:dyDescent="0.2">
      <c r="A22" t="s">
        <v>35</v>
      </c>
      <c r="B22">
        <v>115490</v>
      </c>
      <c r="C22">
        <v>105891</v>
      </c>
      <c r="D22">
        <v>105024</v>
      </c>
      <c r="E22">
        <v>105302</v>
      </c>
      <c r="F22">
        <v>99943</v>
      </c>
      <c r="G22">
        <v>90230</v>
      </c>
      <c r="H22">
        <f t="shared" si="0"/>
        <v>78.127976448177321</v>
      </c>
      <c r="L22">
        <f t="shared" si="1"/>
        <v>0.10813994426799305</v>
      </c>
      <c r="N22" t="s">
        <v>130</v>
      </c>
      <c r="O22">
        <v>1067968</v>
      </c>
      <c r="P22">
        <v>1000469</v>
      </c>
      <c r="Q22">
        <v>999530</v>
      </c>
      <c r="R22">
        <v>998847</v>
      </c>
      <c r="S22">
        <v>988790</v>
      </c>
      <c r="T22">
        <v>866436</v>
      </c>
      <c r="U22">
        <f t="shared" si="2"/>
        <v>81.129397135494699</v>
      </c>
      <c r="Y22" s="1" t="s">
        <v>130</v>
      </c>
      <c r="Z22" s="1">
        <v>115116</v>
      </c>
      <c r="AA22" s="1">
        <v>107827</v>
      </c>
      <c r="AB22" s="1">
        <v>107681</v>
      </c>
      <c r="AC22" s="1">
        <v>107615</v>
      </c>
      <c r="AD22" s="1">
        <v>106668</v>
      </c>
      <c r="AE22" s="1">
        <v>95494</v>
      </c>
      <c r="AF22">
        <f t="shared" si="3"/>
        <v>82.954584940407941</v>
      </c>
    </row>
    <row r="23" spans="1:32" x14ac:dyDescent="0.2">
      <c r="A23" t="s">
        <v>36</v>
      </c>
      <c r="B23">
        <v>89721</v>
      </c>
      <c r="C23">
        <v>75346</v>
      </c>
      <c r="D23">
        <v>74135</v>
      </c>
      <c r="E23">
        <v>74658</v>
      </c>
      <c r="F23">
        <v>71844</v>
      </c>
      <c r="G23">
        <v>69292</v>
      </c>
      <c r="H23">
        <f t="shared" si="0"/>
        <v>77.230525740907936</v>
      </c>
      <c r="L23">
        <f t="shared" si="1"/>
        <v>0.12678779108792942</v>
      </c>
      <c r="N23" t="s">
        <v>131</v>
      </c>
      <c r="O23">
        <v>707647</v>
      </c>
      <c r="P23">
        <v>596109</v>
      </c>
      <c r="Q23">
        <v>595444</v>
      </c>
      <c r="R23">
        <v>595208</v>
      </c>
      <c r="S23">
        <v>589979</v>
      </c>
      <c r="T23">
        <v>554966</v>
      </c>
      <c r="U23">
        <f t="shared" si="2"/>
        <v>78.424129544815429</v>
      </c>
      <c r="Y23" s="1" t="s">
        <v>131</v>
      </c>
      <c r="Z23" s="1">
        <v>89571</v>
      </c>
      <c r="AA23" s="1">
        <v>75421</v>
      </c>
      <c r="AB23" s="1">
        <v>75261</v>
      </c>
      <c r="AC23" s="1">
        <v>75312</v>
      </c>
      <c r="AD23" s="1">
        <v>74710</v>
      </c>
      <c r="AE23" s="1">
        <v>71362</v>
      </c>
      <c r="AF23">
        <f t="shared" si="3"/>
        <v>79.670875618224642</v>
      </c>
    </row>
    <row r="24" spans="1:32" x14ac:dyDescent="0.2">
      <c r="A24" t="s">
        <v>37</v>
      </c>
      <c r="B24">
        <v>83312</v>
      </c>
      <c r="C24">
        <v>62837</v>
      </c>
      <c r="D24">
        <v>62383</v>
      </c>
      <c r="E24">
        <v>62435</v>
      </c>
      <c r="F24">
        <v>60786</v>
      </c>
      <c r="G24">
        <v>59162</v>
      </c>
      <c r="H24">
        <f t="shared" si="0"/>
        <v>71.012579220280386</v>
      </c>
      <c r="L24">
        <f t="shared" si="1"/>
        <v>0.13425423089690824</v>
      </c>
      <c r="N24" t="s">
        <v>132</v>
      </c>
      <c r="O24">
        <v>620554</v>
      </c>
      <c r="P24">
        <v>474722</v>
      </c>
      <c r="Q24">
        <v>474305</v>
      </c>
      <c r="R24">
        <v>473956</v>
      </c>
      <c r="S24">
        <v>470544</v>
      </c>
      <c r="T24">
        <v>447791</v>
      </c>
      <c r="U24">
        <f t="shared" si="2"/>
        <v>72.159876497452274</v>
      </c>
      <c r="Y24" s="1" t="s">
        <v>132</v>
      </c>
      <c r="Z24" s="1">
        <v>83251</v>
      </c>
      <c r="AA24" s="1">
        <v>63562</v>
      </c>
      <c r="AB24" s="1">
        <v>63446</v>
      </c>
      <c r="AC24" s="1">
        <v>63438</v>
      </c>
      <c r="AD24" s="1">
        <v>63094</v>
      </c>
      <c r="AE24" s="1">
        <v>60916</v>
      </c>
      <c r="AF24">
        <f t="shared" si="3"/>
        <v>73.171493435514293</v>
      </c>
    </row>
    <row r="25" spans="1:32" x14ac:dyDescent="0.2">
      <c r="A25" t="s">
        <v>38</v>
      </c>
      <c r="B25">
        <v>78091</v>
      </c>
      <c r="C25">
        <v>48449</v>
      </c>
      <c r="D25">
        <v>47759</v>
      </c>
      <c r="E25">
        <v>47738</v>
      </c>
      <c r="F25">
        <v>45593</v>
      </c>
      <c r="G25">
        <v>44036</v>
      </c>
      <c r="H25">
        <f t="shared" si="0"/>
        <v>56.390621198345528</v>
      </c>
      <c r="L25">
        <f t="shared" si="1"/>
        <v>0.13077546563775877</v>
      </c>
      <c r="N25" t="s">
        <v>133</v>
      </c>
      <c r="O25">
        <v>597138</v>
      </c>
      <c r="P25">
        <v>377908</v>
      </c>
      <c r="Q25">
        <v>376846</v>
      </c>
      <c r="R25">
        <v>376984</v>
      </c>
      <c r="S25">
        <v>371976</v>
      </c>
      <c r="T25">
        <v>349756</v>
      </c>
      <c r="U25">
        <f t="shared" si="2"/>
        <v>58.572055370785314</v>
      </c>
      <c r="Y25" s="1" t="s">
        <v>133</v>
      </c>
      <c r="Z25" s="1">
        <v>77967</v>
      </c>
      <c r="AA25" s="1">
        <v>49202</v>
      </c>
      <c r="AB25" s="1">
        <v>49049</v>
      </c>
      <c r="AC25" s="1">
        <v>49054</v>
      </c>
      <c r="AD25" s="1">
        <v>48502</v>
      </c>
      <c r="AE25" s="1">
        <v>46638</v>
      </c>
      <c r="AF25">
        <f t="shared" si="3"/>
        <v>59.817615144868988</v>
      </c>
    </row>
    <row r="26" spans="1:32" x14ac:dyDescent="0.2">
      <c r="A26" t="s">
        <v>39</v>
      </c>
      <c r="B26">
        <v>103031</v>
      </c>
      <c r="C26">
        <v>71896</v>
      </c>
      <c r="D26">
        <v>71079</v>
      </c>
      <c r="E26">
        <v>71384</v>
      </c>
      <c r="F26">
        <v>68865</v>
      </c>
      <c r="G26">
        <v>66790</v>
      </c>
      <c r="H26">
        <f t="shared" si="0"/>
        <v>64.825149712222526</v>
      </c>
      <c r="L26">
        <f t="shared" si="1"/>
        <v>0.145884395207936</v>
      </c>
      <c r="N26" t="s">
        <v>134</v>
      </c>
      <c r="O26">
        <v>706251</v>
      </c>
      <c r="P26">
        <v>501998</v>
      </c>
      <c r="Q26">
        <v>501187</v>
      </c>
      <c r="R26">
        <v>501164</v>
      </c>
      <c r="S26">
        <v>497104</v>
      </c>
      <c r="T26">
        <v>470031</v>
      </c>
      <c r="U26">
        <f t="shared" si="2"/>
        <v>66.552967712612087</v>
      </c>
      <c r="Y26" s="1" t="s">
        <v>134</v>
      </c>
      <c r="Z26" s="1">
        <v>102967</v>
      </c>
      <c r="AA26" s="1">
        <v>73050</v>
      </c>
      <c r="AB26" s="1">
        <v>72889</v>
      </c>
      <c r="AC26" s="1">
        <v>72866</v>
      </c>
      <c r="AD26" s="1">
        <v>72406</v>
      </c>
      <c r="AE26" s="1">
        <v>69633</v>
      </c>
      <c r="AF26">
        <f t="shared" si="3"/>
        <v>67.626521118416576</v>
      </c>
    </row>
    <row r="27" spans="1:32" x14ac:dyDescent="0.2">
      <c r="A27" t="s">
        <v>40</v>
      </c>
      <c r="B27">
        <v>84775</v>
      </c>
      <c r="C27">
        <v>57711</v>
      </c>
      <c r="D27">
        <v>56828</v>
      </c>
      <c r="E27">
        <v>56942</v>
      </c>
      <c r="F27">
        <v>54508</v>
      </c>
      <c r="G27">
        <v>52970</v>
      </c>
      <c r="H27">
        <f t="shared" si="0"/>
        <v>62.483043350044234</v>
      </c>
      <c r="L27">
        <f t="shared" si="1"/>
        <v>0.12531985944662652</v>
      </c>
      <c r="N27" t="s">
        <v>135</v>
      </c>
      <c r="O27">
        <v>676469</v>
      </c>
      <c r="P27">
        <v>456262</v>
      </c>
      <c r="Q27">
        <v>455707</v>
      </c>
      <c r="R27">
        <v>455598</v>
      </c>
      <c r="S27">
        <v>451572</v>
      </c>
      <c r="T27">
        <v>428431</v>
      </c>
      <c r="U27">
        <f t="shared" si="2"/>
        <v>63.333426956741548</v>
      </c>
      <c r="Y27" s="1" t="s">
        <v>135</v>
      </c>
      <c r="Z27" s="1">
        <v>84544</v>
      </c>
      <c r="AA27" s="1">
        <v>56865</v>
      </c>
      <c r="AB27" s="1">
        <v>56737</v>
      </c>
      <c r="AC27" s="1">
        <v>56706</v>
      </c>
      <c r="AD27" s="1">
        <v>56242</v>
      </c>
      <c r="AE27" s="1">
        <v>54279</v>
      </c>
      <c r="AF27">
        <f t="shared" si="3"/>
        <v>64.202072293716881</v>
      </c>
    </row>
    <row r="28" spans="1:32" x14ac:dyDescent="0.2">
      <c r="A28" t="s">
        <v>41</v>
      </c>
      <c r="B28">
        <v>89230</v>
      </c>
      <c r="C28">
        <v>81590</v>
      </c>
      <c r="D28">
        <v>80912</v>
      </c>
      <c r="E28">
        <v>81132</v>
      </c>
      <c r="F28">
        <v>77392</v>
      </c>
      <c r="G28">
        <v>72289</v>
      </c>
      <c r="H28">
        <f t="shared" si="0"/>
        <v>81.014232881317938</v>
      </c>
      <c r="L28">
        <f t="shared" si="1"/>
        <v>0.10381158250129721</v>
      </c>
      <c r="N28" t="s">
        <v>136</v>
      </c>
      <c r="O28">
        <v>859538</v>
      </c>
      <c r="P28">
        <v>807494</v>
      </c>
      <c r="Q28">
        <v>806553</v>
      </c>
      <c r="R28">
        <v>806487</v>
      </c>
      <c r="S28">
        <v>797898</v>
      </c>
      <c r="T28">
        <v>726343</v>
      </c>
      <c r="U28">
        <f t="shared" si="2"/>
        <v>84.503884645006963</v>
      </c>
      <c r="Y28" s="1" t="s">
        <v>136</v>
      </c>
      <c r="Z28" s="1">
        <v>89008</v>
      </c>
      <c r="AA28" s="1">
        <v>83615</v>
      </c>
      <c r="AB28" s="1">
        <v>83491</v>
      </c>
      <c r="AC28" s="1">
        <v>83470</v>
      </c>
      <c r="AD28" s="1">
        <v>82861</v>
      </c>
      <c r="AE28" s="1">
        <v>76710</v>
      </c>
      <c r="AF28">
        <f t="shared" si="3"/>
        <v>86.183264425669606</v>
      </c>
    </row>
    <row r="29" spans="1:32" x14ac:dyDescent="0.2">
      <c r="A29" t="s">
        <v>42</v>
      </c>
      <c r="B29">
        <v>83831</v>
      </c>
      <c r="C29">
        <v>74541</v>
      </c>
      <c r="D29">
        <v>73647</v>
      </c>
      <c r="E29">
        <v>74029</v>
      </c>
      <c r="F29">
        <v>71067</v>
      </c>
      <c r="G29">
        <v>68463</v>
      </c>
      <c r="H29">
        <f t="shared" si="0"/>
        <v>81.667879424079388</v>
      </c>
      <c r="L29">
        <f t="shared" si="1"/>
        <v>0.11998036370089851</v>
      </c>
      <c r="N29" t="s">
        <v>137</v>
      </c>
      <c r="O29">
        <v>698706</v>
      </c>
      <c r="P29">
        <v>626684</v>
      </c>
      <c r="Q29">
        <v>625781</v>
      </c>
      <c r="R29">
        <v>625876</v>
      </c>
      <c r="S29">
        <v>618662</v>
      </c>
      <c r="T29">
        <v>582110</v>
      </c>
      <c r="U29">
        <f t="shared" si="2"/>
        <v>83.31258068486602</v>
      </c>
      <c r="Y29" s="1" t="s">
        <v>137</v>
      </c>
      <c r="Z29" s="1">
        <v>83737</v>
      </c>
      <c r="AA29" s="1">
        <v>75018</v>
      </c>
      <c r="AB29" s="1">
        <v>74923</v>
      </c>
      <c r="AC29" s="1">
        <v>74913</v>
      </c>
      <c r="AD29" s="1">
        <v>74332</v>
      </c>
      <c r="AE29" s="1">
        <v>70900</v>
      </c>
      <c r="AF29">
        <f t="shared" si="3"/>
        <v>84.669859202025393</v>
      </c>
    </row>
    <row r="30" spans="1:32" x14ac:dyDescent="0.2">
      <c r="A30" t="s">
        <v>43</v>
      </c>
      <c r="B30">
        <v>73540</v>
      </c>
      <c r="C30">
        <v>65530</v>
      </c>
      <c r="D30">
        <v>64548</v>
      </c>
      <c r="E30">
        <v>65133</v>
      </c>
      <c r="F30">
        <v>62431</v>
      </c>
      <c r="G30">
        <v>60076</v>
      </c>
      <c r="H30">
        <f t="shared" si="0"/>
        <v>81.691596410116944</v>
      </c>
      <c r="L30">
        <f t="shared" si="1"/>
        <v>0.11496103611877535</v>
      </c>
      <c r="N30" t="s">
        <v>138</v>
      </c>
      <c r="O30">
        <v>639695</v>
      </c>
      <c r="P30">
        <v>579044</v>
      </c>
      <c r="Q30">
        <v>578116</v>
      </c>
      <c r="R30">
        <v>578205</v>
      </c>
      <c r="S30">
        <v>572299</v>
      </c>
      <c r="T30">
        <v>536460</v>
      </c>
      <c r="U30">
        <f t="shared" si="2"/>
        <v>83.861840408319594</v>
      </c>
      <c r="Y30" s="1" t="s">
        <v>138</v>
      </c>
      <c r="Z30" s="1">
        <v>73385</v>
      </c>
      <c r="AA30" s="1">
        <v>66470</v>
      </c>
      <c r="AB30" s="1">
        <v>66388</v>
      </c>
      <c r="AC30" s="1">
        <v>66351</v>
      </c>
      <c r="AD30" s="1">
        <v>65828</v>
      </c>
      <c r="AE30" s="1">
        <v>62663</v>
      </c>
      <c r="AF30">
        <f t="shared" si="3"/>
        <v>85.389384751652244</v>
      </c>
    </row>
    <row r="31" spans="1:32" x14ac:dyDescent="0.2">
      <c r="A31" t="s">
        <v>44</v>
      </c>
      <c r="B31">
        <v>112999</v>
      </c>
      <c r="C31">
        <v>89562</v>
      </c>
      <c r="D31">
        <v>89027</v>
      </c>
      <c r="E31">
        <v>89155</v>
      </c>
      <c r="F31">
        <v>87161</v>
      </c>
      <c r="G31">
        <v>84035</v>
      </c>
      <c r="H31">
        <f t="shared" si="0"/>
        <v>74.367914760307613</v>
      </c>
      <c r="L31">
        <f t="shared" si="1"/>
        <v>0.11808467059310379</v>
      </c>
      <c r="N31" t="s">
        <v>139</v>
      </c>
      <c r="O31">
        <v>956932</v>
      </c>
      <c r="P31">
        <v>739899</v>
      </c>
      <c r="Q31">
        <v>737979</v>
      </c>
      <c r="R31">
        <v>738322</v>
      </c>
      <c r="S31">
        <v>729124</v>
      </c>
      <c r="T31">
        <v>688664</v>
      </c>
      <c r="U31">
        <f t="shared" si="2"/>
        <v>71.965824112894126</v>
      </c>
      <c r="Y31" s="1" t="s">
        <v>139</v>
      </c>
      <c r="Z31" s="1">
        <v>112770</v>
      </c>
      <c r="AA31" s="1">
        <v>87344</v>
      </c>
      <c r="AB31" s="1">
        <v>87157</v>
      </c>
      <c r="AC31" s="1">
        <v>87236</v>
      </c>
      <c r="AD31" s="1">
        <v>86735</v>
      </c>
      <c r="AE31" s="1">
        <v>83096</v>
      </c>
      <c r="AF31">
        <f t="shared" si="3"/>
        <v>73.686264077325518</v>
      </c>
    </row>
    <row r="32" spans="1:32" x14ac:dyDescent="0.2">
      <c r="A32" t="s">
        <v>45</v>
      </c>
      <c r="B32">
        <v>86839</v>
      </c>
      <c r="C32">
        <v>61744</v>
      </c>
      <c r="D32">
        <v>61012</v>
      </c>
      <c r="E32">
        <v>61312</v>
      </c>
      <c r="F32">
        <v>59381</v>
      </c>
      <c r="G32">
        <v>57822</v>
      </c>
      <c r="H32">
        <f t="shared" si="0"/>
        <v>66.585290019461311</v>
      </c>
      <c r="L32">
        <f t="shared" si="1"/>
        <v>0.1088715541580787</v>
      </c>
      <c r="N32" t="s">
        <v>140</v>
      </c>
      <c r="O32">
        <v>797628</v>
      </c>
      <c r="P32">
        <v>545496</v>
      </c>
      <c r="Q32">
        <v>543018</v>
      </c>
      <c r="R32">
        <v>544543</v>
      </c>
      <c r="S32">
        <v>534766</v>
      </c>
      <c r="T32">
        <v>508329</v>
      </c>
      <c r="U32">
        <f t="shared" si="2"/>
        <v>63.730084701138878</v>
      </c>
      <c r="Y32" s="1" t="s">
        <v>140</v>
      </c>
      <c r="Z32" s="1">
        <v>86494</v>
      </c>
      <c r="AA32" s="1">
        <v>59194</v>
      </c>
      <c r="AB32" s="1">
        <v>59030</v>
      </c>
      <c r="AC32" s="1">
        <v>59063</v>
      </c>
      <c r="AD32" s="1">
        <v>58616</v>
      </c>
      <c r="AE32" s="1">
        <v>56732</v>
      </c>
      <c r="AF32">
        <f t="shared" si="3"/>
        <v>65.590676809952129</v>
      </c>
    </row>
    <row r="33" spans="1:32" x14ac:dyDescent="0.2">
      <c r="A33" t="s">
        <v>46</v>
      </c>
      <c r="B33">
        <v>83393</v>
      </c>
      <c r="C33">
        <v>70262</v>
      </c>
      <c r="D33">
        <v>69532</v>
      </c>
      <c r="E33">
        <v>69759</v>
      </c>
      <c r="F33">
        <v>67035</v>
      </c>
      <c r="G33">
        <v>64445</v>
      </c>
      <c r="H33">
        <f t="shared" si="0"/>
        <v>77.278668473373074</v>
      </c>
      <c r="L33">
        <f t="shared" si="1"/>
        <v>0.13204852319672922</v>
      </c>
      <c r="N33" t="s">
        <v>141</v>
      </c>
      <c r="O33">
        <v>631533</v>
      </c>
      <c r="P33">
        <v>554336</v>
      </c>
      <c r="Q33">
        <v>553601</v>
      </c>
      <c r="R33">
        <v>553582</v>
      </c>
      <c r="S33">
        <v>548468</v>
      </c>
      <c r="T33">
        <v>515276</v>
      </c>
      <c r="U33">
        <f t="shared" si="2"/>
        <v>81.591302433918727</v>
      </c>
      <c r="Y33" s="1" t="s">
        <v>141</v>
      </c>
      <c r="Z33" s="1">
        <v>83276</v>
      </c>
      <c r="AA33" s="1">
        <v>73132</v>
      </c>
      <c r="AB33" s="1">
        <v>73044</v>
      </c>
      <c r="AC33" s="1">
        <v>73027</v>
      </c>
      <c r="AD33" s="1">
        <v>72501</v>
      </c>
      <c r="AE33" s="1">
        <v>69032</v>
      </c>
      <c r="AF33">
        <f t="shared" si="3"/>
        <v>82.895432057255391</v>
      </c>
    </row>
    <row r="34" spans="1:32" x14ac:dyDescent="0.2">
      <c r="A34" t="s">
        <v>47</v>
      </c>
      <c r="B34">
        <v>103223</v>
      </c>
      <c r="C34">
        <v>88674</v>
      </c>
      <c r="D34">
        <v>87947</v>
      </c>
      <c r="E34">
        <v>88232</v>
      </c>
      <c r="F34">
        <v>85284</v>
      </c>
      <c r="G34">
        <v>82493</v>
      </c>
      <c r="H34">
        <f t="shared" si="0"/>
        <v>79.917266500682985</v>
      </c>
      <c r="L34">
        <f t="shared" si="1"/>
        <v>0.11662587930103335</v>
      </c>
      <c r="N34" t="s">
        <v>142</v>
      </c>
      <c r="O34">
        <v>885078</v>
      </c>
      <c r="P34">
        <v>778384</v>
      </c>
      <c r="Q34">
        <v>777159</v>
      </c>
      <c r="R34">
        <v>777250</v>
      </c>
      <c r="S34">
        <v>769894</v>
      </c>
      <c r="T34">
        <v>728197</v>
      </c>
      <c r="U34">
        <f t="shared" si="2"/>
        <v>82.274895545929283</v>
      </c>
      <c r="Y34" s="1" t="s">
        <v>142</v>
      </c>
      <c r="Z34" s="1">
        <v>103020</v>
      </c>
      <c r="AA34" s="1">
        <v>90397</v>
      </c>
      <c r="AB34" s="1">
        <v>90266</v>
      </c>
      <c r="AC34" s="1">
        <v>90263</v>
      </c>
      <c r="AD34" s="1">
        <v>89627</v>
      </c>
      <c r="AE34" s="1">
        <v>85744</v>
      </c>
      <c r="AF34">
        <f t="shared" si="3"/>
        <v>83.230440691127939</v>
      </c>
    </row>
    <row r="35" spans="1:32" x14ac:dyDescent="0.2">
      <c r="A35" t="s">
        <v>48</v>
      </c>
      <c r="B35">
        <v>93559</v>
      </c>
      <c r="C35">
        <v>80251</v>
      </c>
      <c r="D35">
        <v>79692</v>
      </c>
      <c r="E35">
        <v>79853</v>
      </c>
      <c r="F35">
        <v>77198</v>
      </c>
      <c r="G35">
        <v>74668</v>
      </c>
      <c r="H35">
        <f t="shared" si="0"/>
        <v>79.808463108840414</v>
      </c>
      <c r="L35">
        <f t="shared" si="1"/>
        <v>0.13423676772314447</v>
      </c>
      <c r="N35" t="s">
        <v>143</v>
      </c>
      <c r="O35">
        <v>696970</v>
      </c>
      <c r="P35">
        <v>620196</v>
      </c>
      <c r="Q35">
        <v>619487</v>
      </c>
      <c r="R35">
        <v>619302</v>
      </c>
      <c r="S35">
        <v>613685</v>
      </c>
      <c r="T35">
        <v>579994</v>
      </c>
      <c r="U35">
        <f t="shared" si="2"/>
        <v>83.216494253698144</v>
      </c>
      <c r="Y35" s="1" t="s">
        <v>143</v>
      </c>
      <c r="Z35" s="1">
        <v>93426</v>
      </c>
      <c r="AA35" s="1">
        <v>83124</v>
      </c>
      <c r="AB35" s="1">
        <v>83021</v>
      </c>
      <c r="AC35" s="1">
        <v>83018</v>
      </c>
      <c r="AD35" s="1">
        <v>82481</v>
      </c>
      <c r="AE35" s="1">
        <v>78989</v>
      </c>
      <c r="AF35">
        <f t="shared" si="3"/>
        <v>84.54712820842164</v>
      </c>
    </row>
    <row r="36" spans="1:32" x14ac:dyDescent="0.2">
      <c r="A36" t="s">
        <v>49</v>
      </c>
      <c r="B36">
        <v>89566</v>
      </c>
      <c r="C36">
        <v>71075</v>
      </c>
      <c r="D36">
        <v>70411</v>
      </c>
      <c r="E36">
        <v>70640</v>
      </c>
      <c r="F36">
        <v>68242</v>
      </c>
      <c r="G36">
        <v>65943</v>
      </c>
      <c r="H36">
        <f t="shared" si="0"/>
        <v>73.625036286090705</v>
      </c>
      <c r="L36">
        <f t="shared" si="1"/>
        <v>0.13371971502111066</v>
      </c>
      <c r="N36" t="s">
        <v>144</v>
      </c>
      <c r="O36">
        <v>669804</v>
      </c>
      <c r="P36">
        <v>510409</v>
      </c>
      <c r="Q36">
        <v>509776</v>
      </c>
      <c r="R36">
        <v>509274</v>
      </c>
      <c r="S36">
        <v>503399</v>
      </c>
      <c r="T36">
        <v>474996</v>
      </c>
      <c r="U36">
        <f t="shared" si="2"/>
        <v>70.915670852965945</v>
      </c>
      <c r="Y36" s="1" t="s">
        <v>144</v>
      </c>
      <c r="Z36" s="1">
        <v>89381</v>
      </c>
      <c r="AA36" s="1">
        <v>68119</v>
      </c>
      <c r="AB36" s="1">
        <v>67954</v>
      </c>
      <c r="AC36" s="1">
        <v>67997</v>
      </c>
      <c r="AD36" s="1">
        <v>67520</v>
      </c>
      <c r="AE36" s="1">
        <v>64576</v>
      </c>
      <c r="AF36">
        <f t="shared" si="3"/>
        <v>72.248016916346884</v>
      </c>
    </row>
    <row r="37" spans="1:32" x14ac:dyDescent="0.2">
      <c r="A37" t="s">
        <v>50</v>
      </c>
      <c r="B37">
        <v>118834</v>
      </c>
      <c r="C37">
        <v>93126</v>
      </c>
      <c r="D37">
        <v>91959</v>
      </c>
      <c r="E37">
        <v>92200</v>
      </c>
      <c r="F37">
        <v>88636</v>
      </c>
      <c r="G37">
        <v>85415</v>
      </c>
      <c r="H37">
        <f t="shared" si="0"/>
        <v>71.877577124392005</v>
      </c>
      <c r="L37">
        <f t="shared" si="1"/>
        <v>0.15153281060120147</v>
      </c>
      <c r="N37" t="s">
        <v>145</v>
      </c>
      <c r="O37">
        <v>784213</v>
      </c>
      <c r="P37">
        <v>654506</v>
      </c>
      <c r="Q37">
        <v>651965</v>
      </c>
      <c r="R37">
        <v>653449</v>
      </c>
      <c r="S37">
        <v>643497</v>
      </c>
      <c r="T37">
        <v>606236</v>
      </c>
      <c r="U37">
        <f t="shared" si="2"/>
        <v>77.305017896923417</v>
      </c>
      <c r="Y37" s="1" t="s">
        <v>145</v>
      </c>
      <c r="Z37" s="1">
        <v>118647</v>
      </c>
      <c r="AA37" s="1">
        <v>98954</v>
      </c>
      <c r="AB37" s="1">
        <v>98767</v>
      </c>
      <c r="AC37" s="1">
        <v>98774</v>
      </c>
      <c r="AD37" s="1">
        <v>98086</v>
      </c>
      <c r="AE37" s="1">
        <v>93731</v>
      </c>
      <c r="AF37">
        <f t="shared" si="3"/>
        <v>78.99989043127934</v>
      </c>
    </row>
    <row r="38" spans="1:32" x14ac:dyDescent="0.2">
      <c r="A38" t="s">
        <v>51</v>
      </c>
      <c r="B38">
        <v>100382</v>
      </c>
      <c r="C38">
        <v>59491</v>
      </c>
      <c r="D38">
        <v>58171</v>
      </c>
      <c r="E38">
        <v>58773</v>
      </c>
      <c r="F38">
        <v>55622</v>
      </c>
      <c r="G38">
        <v>54072</v>
      </c>
      <c r="H38">
        <f t="shared" si="0"/>
        <v>53.866230997589206</v>
      </c>
      <c r="L38">
        <f t="shared" si="1"/>
        <v>0.11598151357596764</v>
      </c>
      <c r="N38" t="s">
        <v>146</v>
      </c>
      <c r="O38">
        <v>865500</v>
      </c>
      <c r="P38">
        <v>524765</v>
      </c>
      <c r="Q38">
        <v>523395</v>
      </c>
      <c r="R38">
        <v>523303</v>
      </c>
      <c r="S38">
        <v>516575</v>
      </c>
      <c r="T38">
        <v>488671</v>
      </c>
      <c r="U38">
        <f t="shared" si="2"/>
        <v>56.461120739456959</v>
      </c>
      <c r="Y38" s="1" t="s">
        <v>146</v>
      </c>
      <c r="Z38" s="1">
        <v>100130</v>
      </c>
      <c r="AA38" s="1">
        <v>60714</v>
      </c>
      <c r="AB38" s="1">
        <v>60515</v>
      </c>
      <c r="AC38" s="1">
        <v>60497</v>
      </c>
      <c r="AD38" s="1">
        <v>59863</v>
      </c>
      <c r="AE38" s="1">
        <v>57839</v>
      </c>
      <c r="AF38">
        <f t="shared" si="3"/>
        <v>57.763906921002693</v>
      </c>
    </row>
    <row r="39" spans="1:32" x14ac:dyDescent="0.2">
      <c r="A39" t="s">
        <v>52</v>
      </c>
      <c r="B39">
        <v>87515</v>
      </c>
      <c r="C39">
        <v>77252</v>
      </c>
      <c r="D39">
        <v>76686</v>
      </c>
      <c r="E39">
        <v>76824</v>
      </c>
      <c r="F39">
        <v>74517</v>
      </c>
      <c r="G39">
        <v>71895</v>
      </c>
      <c r="H39">
        <f t="shared" si="0"/>
        <v>82.151631148945896</v>
      </c>
      <c r="L39">
        <f t="shared" si="1"/>
        <v>0.13498631087803184</v>
      </c>
      <c r="N39" t="s">
        <v>147</v>
      </c>
      <c r="O39">
        <v>648325</v>
      </c>
      <c r="P39">
        <v>592668</v>
      </c>
      <c r="Q39">
        <v>592133</v>
      </c>
      <c r="R39">
        <v>592247</v>
      </c>
      <c r="S39">
        <v>585225</v>
      </c>
      <c r="T39">
        <v>552005</v>
      </c>
      <c r="U39">
        <f t="shared" si="2"/>
        <v>85.143253769328652</v>
      </c>
      <c r="Y39" s="1" t="s">
        <v>147</v>
      </c>
      <c r="Z39" s="1">
        <v>87337</v>
      </c>
      <c r="AA39" s="1">
        <v>79825</v>
      </c>
      <c r="AB39" s="1">
        <v>79677</v>
      </c>
      <c r="AC39" s="1">
        <v>79688</v>
      </c>
      <c r="AD39" s="1">
        <v>78891</v>
      </c>
      <c r="AE39" s="1">
        <v>75552</v>
      </c>
      <c r="AF39">
        <f t="shared" si="3"/>
        <v>86.506291720576627</v>
      </c>
    </row>
    <row r="40" spans="1:32" x14ac:dyDescent="0.2">
      <c r="A40" t="s">
        <v>53</v>
      </c>
      <c r="B40">
        <v>99566</v>
      </c>
      <c r="C40">
        <v>84182</v>
      </c>
      <c r="D40">
        <v>83176</v>
      </c>
      <c r="E40">
        <v>83513</v>
      </c>
      <c r="F40">
        <v>80714</v>
      </c>
      <c r="G40">
        <v>77961</v>
      </c>
      <c r="H40">
        <f t="shared" si="0"/>
        <v>78.30082558303036</v>
      </c>
      <c r="L40">
        <f t="shared" si="1"/>
        <v>0.13846630962794637</v>
      </c>
      <c r="N40" t="s">
        <v>148</v>
      </c>
      <c r="O40">
        <v>719063</v>
      </c>
      <c r="P40">
        <v>628018</v>
      </c>
      <c r="Q40">
        <v>627372</v>
      </c>
      <c r="R40">
        <v>627326</v>
      </c>
      <c r="S40">
        <v>620843</v>
      </c>
      <c r="T40">
        <v>584937</v>
      </c>
      <c r="U40">
        <f t="shared" si="2"/>
        <v>81.347114230602884</v>
      </c>
      <c r="Y40" s="1" t="s">
        <v>148</v>
      </c>
      <c r="Z40" s="1">
        <v>99443</v>
      </c>
      <c r="AA40" s="1">
        <v>86910</v>
      </c>
      <c r="AB40" s="1">
        <v>86731</v>
      </c>
      <c r="AC40" s="1">
        <v>86770</v>
      </c>
      <c r="AD40" s="1">
        <v>86074</v>
      </c>
      <c r="AE40" s="1">
        <v>82297</v>
      </c>
      <c r="AF40">
        <f t="shared" si="3"/>
        <v>82.75796184749052</v>
      </c>
    </row>
    <row r="41" spans="1:32" x14ac:dyDescent="0.2">
      <c r="A41" t="s">
        <v>54</v>
      </c>
      <c r="B41">
        <v>90133</v>
      </c>
      <c r="C41">
        <v>72472</v>
      </c>
      <c r="D41">
        <v>71911</v>
      </c>
      <c r="E41">
        <v>71818</v>
      </c>
      <c r="F41">
        <v>69852</v>
      </c>
      <c r="G41">
        <v>68117</v>
      </c>
      <c r="H41">
        <f t="shared" si="0"/>
        <v>75.573874163735809</v>
      </c>
      <c r="L41">
        <f t="shared" si="1"/>
        <v>0.13632678619504685</v>
      </c>
      <c r="N41" t="s">
        <v>149</v>
      </c>
      <c r="O41">
        <v>661154</v>
      </c>
      <c r="P41">
        <v>557466</v>
      </c>
      <c r="Q41">
        <v>556839</v>
      </c>
      <c r="R41">
        <v>556425</v>
      </c>
      <c r="S41">
        <v>551592</v>
      </c>
      <c r="T41">
        <v>525444</v>
      </c>
      <c r="U41">
        <f t="shared" si="2"/>
        <v>79.473768592491311</v>
      </c>
      <c r="Y41" s="1" t="s">
        <v>149</v>
      </c>
      <c r="Z41" s="1">
        <v>89957</v>
      </c>
      <c r="AA41" s="1">
        <v>75743</v>
      </c>
      <c r="AB41" s="1">
        <v>75571</v>
      </c>
      <c r="AC41" s="1">
        <v>75649</v>
      </c>
      <c r="AD41" s="1">
        <v>75190</v>
      </c>
      <c r="AE41" s="1">
        <v>72585</v>
      </c>
      <c r="AF41">
        <f t="shared" si="3"/>
        <v>80.688551196682852</v>
      </c>
    </row>
    <row r="42" spans="1:32" x14ac:dyDescent="0.2">
      <c r="A42" t="s">
        <v>55</v>
      </c>
      <c r="B42">
        <v>111713</v>
      </c>
      <c r="C42">
        <v>90326</v>
      </c>
      <c r="D42">
        <v>89809</v>
      </c>
      <c r="E42">
        <v>89844</v>
      </c>
      <c r="F42">
        <v>87934</v>
      </c>
      <c r="G42">
        <v>85869</v>
      </c>
      <c r="H42">
        <f t="shared" si="0"/>
        <v>76.865718403408735</v>
      </c>
      <c r="L42">
        <f t="shared" si="1"/>
        <v>0.14031493709171158</v>
      </c>
      <c r="N42" t="s">
        <v>150</v>
      </c>
      <c r="O42">
        <v>796159</v>
      </c>
      <c r="P42">
        <v>667984</v>
      </c>
      <c r="Q42">
        <v>667299</v>
      </c>
      <c r="R42">
        <v>665708</v>
      </c>
      <c r="S42">
        <v>659548</v>
      </c>
      <c r="T42">
        <v>633452</v>
      </c>
      <c r="U42">
        <f t="shared" si="2"/>
        <v>79.56350427489987</v>
      </c>
      <c r="Y42" s="1" t="s">
        <v>150</v>
      </c>
      <c r="Z42" s="1">
        <v>111417</v>
      </c>
      <c r="AA42" s="1">
        <v>93378</v>
      </c>
      <c r="AB42" s="1">
        <v>93167</v>
      </c>
      <c r="AC42" s="1">
        <v>93266</v>
      </c>
      <c r="AD42" s="1">
        <v>92838</v>
      </c>
      <c r="AE42" s="1">
        <v>90242</v>
      </c>
      <c r="AF42">
        <f t="shared" si="3"/>
        <v>80.994821257079266</v>
      </c>
    </row>
    <row r="43" spans="1:32" x14ac:dyDescent="0.2">
      <c r="A43" t="s">
        <v>56</v>
      </c>
      <c r="B43">
        <v>75558</v>
      </c>
      <c r="C43">
        <v>53858</v>
      </c>
      <c r="D43">
        <v>53227</v>
      </c>
      <c r="E43">
        <v>53337</v>
      </c>
      <c r="F43">
        <v>51235</v>
      </c>
      <c r="G43">
        <v>49284</v>
      </c>
      <c r="H43">
        <f t="shared" si="0"/>
        <v>65.226713253394735</v>
      </c>
      <c r="L43">
        <f t="shared" si="1"/>
        <v>0.12414377794171529</v>
      </c>
      <c r="N43" t="s">
        <v>151</v>
      </c>
      <c r="O43">
        <v>608633</v>
      </c>
      <c r="P43">
        <v>403281</v>
      </c>
      <c r="Q43">
        <v>402656</v>
      </c>
      <c r="R43">
        <v>402713</v>
      </c>
      <c r="S43">
        <v>396755</v>
      </c>
      <c r="T43">
        <v>372102</v>
      </c>
      <c r="U43">
        <f t="shared" si="2"/>
        <v>61.137335635760792</v>
      </c>
      <c r="Y43" s="1" t="s">
        <v>151</v>
      </c>
      <c r="Z43" s="1">
        <v>75496</v>
      </c>
      <c r="AA43" s="1">
        <v>49955</v>
      </c>
      <c r="AB43" s="1">
        <v>49830</v>
      </c>
      <c r="AC43" s="1">
        <v>49824</v>
      </c>
      <c r="AD43" s="1">
        <v>49276</v>
      </c>
      <c r="AE43" s="1">
        <v>46963</v>
      </c>
      <c r="AF43">
        <f t="shared" si="3"/>
        <v>62.205944685811168</v>
      </c>
    </row>
    <row r="44" spans="1:32" x14ac:dyDescent="0.2">
      <c r="A44" t="s">
        <v>57</v>
      </c>
      <c r="B44">
        <v>98305</v>
      </c>
      <c r="C44">
        <v>81629</v>
      </c>
      <c r="D44">
        <v>80964</v>
      </c>
      <c r="E44">
        <v>81008</v>
      </c>
      <c r="F44">
        <v>77876</v>
      </c>
      <c r="G44">
        <v>74974</v>
      </c>
      <c r="H44">
        <f t="shared" si="0"/>
        <v>76.266720919586987</v>
      </c>
      <c r="L44">
        <f t="shared" si="1"/>
        <v>0.14512169377779943</v>
      </c>
      <c r="N44" t="s">
        <v>152</v>
      </c>
      <c r="O44">
        <v>677397</v>
      </c>
      <c r="P44">
        <v>581815</v>
      </c>
      <c r="Q44">
        <v>581210</v>
      </c>
      <c r="R44">
        <v>581327</v>
      </c>
      <c r="S44">
        <v>574713</v>
      </c>
      <c r="T44">
        <v>540467</v>
      </c>
      <c r="U44">
        <f t="shared" si="2"/>
        <v>79.785856742796327</v>
      </c>
      <c r="Y44" s="1" t="s">
        <v>152</v>
      </c>
      <c r="Z44" s="1">
        <v>98123</v>
      </c>
      <c r="AA44" s="1">
        <v>84376</v>
      </c>
      <c r="AB44" s="1">
        <v>84155</v>
      </c>
      <c r="AC44" s="1">
        <v>84225</v>
      </c>
      <c r="AD44" s="1">
        <v>83364</v>
      </c>
      <c r="AE44" s="1">
        <v>79608</v>
      </c>
      <c r="AF44">
        <f t="shared" si="3"/>
        <v>81.130825596445277</v>
      </c>
    </row>
    <row r="45" spans="1:32" x14ac:dyDescent="0.2">
      <c r="A45" t="s">
        <v>58</v>
      </c>
      <c r="B45">
        <v>94476</v>
      </c>
      <c r="C45">
        <v>83088</v>
      </c>
      <c r="D45">
        <v>82430</v>
      </c>
      <c r="E45">
        <v>82660</v>
      </c>
      <c r="F45">
        <v>80658</v>
      </c>
      <c r="G45">
        <v>77703</v>
      </c>
      <c r="H45">
        <f t="shared" si="0"/>
        <v>82.246284770735429</v>
      </c>
      <c r="L45">
        <f t="shared" si="1"/>
        <v>0.12864781985274593</v>
      </c>
      <c r="N45" t="s">
        <v>153</v>
      </c>
      <c r="O45">
        <v>734377</v>
      </c>
      <c r="P45">
        <v>665933</v>
      </c>
      <c r="Q45">
        <v>665478</v>
      </c>
      <c r="R45">
        <v>665399</v>
      </c>
      <c r="S45">
        <v>657452</v>
      </c>
      <c r="T45">
        <v>619851</v>
      </c>
      <c r="U45">
        <f t="shared" si="2"/>
        <v>84.405012684220765</v>
      </c>
      <c r="Y45" s="1" t="s">
        <v>153</v>
      </c>
      <c r="Z45" s="1">
        <v>94336</v>
      </c>
      <c r="AA45" s="1">
        <v>85584</v>
      </c>
      <c r="AB45" s="1">
        <v>85436</v>
      </c>
      <c r="AC45" s="1">
        <v>85484</v>
      </c>
      <c r="AD45" s="1">
        <v>84623</v>
      </c>
      <c r="AE45" s="1">
        <v>80638</v>
      </c>
      <c r="AF45">
        <f t="shared" si="3"/>
        <v>85.479562415196739</v>
      </c>
    </row>
    <row r="46" spans="1:32" x14ac:dyDescent="0.2">
      <c r="A46" t="s">
        <v>59</v>
      </c>
      <c r="B46">
        <v>84543</v>
      </c>
      <c r="C46">
        <v>65207</v>
      </c>
      <c r="D46">
        <v>64355</v>
      </c>
      <c r="E46">
        <v>64819</v>
      </c>
      <c r="F46">
        <v>62753</v>
      </c>
      <c r="G46">
        <v>61144</v>
      </c>
      <c r="H46">
        <f t="shared" si="0"/>
        <v>72.322959913889974</v>
      </c>
      <c r="L46">
        <f t="shared" si="1"/>
        <v>0.13607304613185772</v>
      </c>
      <c r="N46" t="s">
        <v>154</v>
      </c>
      <c r="O46">
        <v>621306</v>
      </c>
      <c r="P46">
        <v>496619</v>
      </c>
      <c r="Q46">
        <v>496180</v>
      </c>
      <c r="R46">
        <v>496000</v>
      </c>
      <c r="S46">
        <v>491909</v>
      </c>
      <c r="T46">
        <v>467729</v>
      </c>
      <c r="U46">
        <f t="shared" si="2"/>
        <v>75.281584275703111</v>
      </c>
      <c r="Y46" s="1" t="s">
        <v>154</v>
      </c>
      <c r="Z46" s="1">
        <v>84509</v>
      </c>
      <c r="AA46" s="1">
        <v>67471</v>
      </c>
      <c r="AB46" s="1">
        <v>67355</v>
      </c>
      <c r="AC46" s="1">
        <v>67368</v>
      </c>
      <c r="AD46" s="1">
        <v>66978</v>
      </c>
      <c r="AE46" s="1">
        <v>64720</v>
      </c>
      <c r="AF46">
        <f t="shared" si="3"/>
        <v>76.583559147546424</v>
      </c>
    </row>
    <row r="47" spans="1:32" x14ac:dyDescent="0.2">
      <c r="A47" t="s">
        <v>60</v>
      </c>
      <c r="B47">
        <v>71922</v>
      </c>
      <c r="C47">
        <v>44877</v>
      </c>
      <c r="D47">
        <v>43910</v>
      </c>
      <c r="E47">
        <v>44274</v>
      </c>
      <c r="F47">
        <v>41954</v>
      </c>
      <c r="G47">
        <v>40686</v>
      </c>
      <c r="H47">
        <f t="shared" si="0"/>
        <v>56.569617085175608</v>
      </c>
      <c r="L47">
        <f t="shared" si="1"/>
        <v>0.13356981019945771</v>
      </c>
      <c r="N47" t="s">
        <v>155</v>
      </c>
      <c r="O47">
        <v>538460</v>
      </c>
      <c r="P47">
        <v>351525</v>
      </c>
      <c r="Q47">
        <v>350453</v>
      </c>
      <c r="R47">
        <v>350485</v>
      </c>
      <c r="S47">
        <v>346518</v>
      </c>
      <c r="T47">
        <v>328122</v>
      </c>
      <c r="U47">
        <f t="shared" si="2"/>
        <v>60.937116963191315</v>
      </c>
      <c r="Y47" s="1" t="s">
        <v>155</v>
      </c>
      <c r="Z47" s="1">
        <v>71819</v>
      </c>
      <c r="AA47" s="1">
        <v>46858</v>
      </c>
      <c r="AB47" s="1">
        <v>46634</v>
      </c>
      <c r="AC47" s="1">
        <v>46643</v>
      </c>
      <c r="AD47" s="1">
        <v>46085</v>
      </c>
      <c r="AE47" s="1">
        <v>44480</v>
      </c>
      <c r="AF47">
        <f t="shared" si="3"/>
        <v>61.933471643993933</v>
      </c>
    </row>
    <row r="48" spans="1:32" x14ac:dyDescent="0.2">
      <c r="A48" t="s">
        <v>61</v>
      </c>
      <c r="B48">
        <v>92423</v>
      </c>
      <c r="C48">
        <v>61736</v>
      </c>
      <c r="D48">
        <v>60471</v>
      </c>
      <c r="E48">
        <v>61191</v>
      </c>
      <c r="F48">
        <v>58343</v>
      </c>
      <c r="G48">
        <v>56588</v>
      </c>
      <c r="H48">
        <f t="shared" si="0"/>
        <v>61.227183709682656</v>
      </c>
      <c r="L48">
        <f t="shared" si="1"/>
        <v>0.12736580996348101</v>
      </c>
      <c r="N48" t="s">
        <v>156</v>
      </c>
      <c r="O48">
        <v>725650</v>
      </c>
      <c r="P48">
        <v>502227</v>
      </c>
      <c r="Q48">
        <v>501466</v>
      </c>
      <c r="R48">
        <v>501625</v>
      </c>
      <c r="S48">
        <v>497427</v>
      </c>
      <c r="T48">
        <v>470053</v>
      </c>
      <c r="U48">
        <f t="shared" si="2"/>
        <v>64.776820781368428</v>
      </c>
      <c r="Y48" s="1" t="s">
        <v>156</v>
      </c>
      <c r="Z48" s="1">
        <v>92235</v>
      </c>
      <c r="AA48" s="1">
        <v>63824</v>
      </c>
      <c r="AB48" s="1">
        <v>63701</v>
      </c>
      <c r="AC48" s="1">
        <v>63677</v>
      </c>
      <c r="AD48" s="1">
        <v>63318</v>
      </c>
      <c r="AE48" s="1">
        <v>60879</v>
      </c>
      <c r="AF48">
        <f t="shared" si="3"/>
        <v>66.00422832980972</v>
      </c>
    </row>
    <row r="49" spans="1:32" x14ac:dyDescent="0.2">
      <c r="A49" t="s">
        <v>62</v>
      </c>
      <c r="B49">
        <v>109925</v>
      </c>
      <c r="C49">
        <v>84779</v>
      </c>
      <c r="D49">
        <v>83877</v>
      </c>
      <c r="E49">
        <v>84153</v>
      </c>
      <c r="F49">
        <v>81841</v>
      </c>
      <c r="G49">
        <v>80040</v>
      </c>
      <c r="H49">
        <f t="shared" si="0"/>
        <v>72.813281783033887</v>
      </c>
      <c r="L49">
        <f t="shared" si="1"/>
        <v>0.13350587583741005</v>
      </c>
      <c r="N49" t="s">
        <v>157</v>
      </c>
      <c r="O49">
        <v>823372</v>
      </c>
      <c r="P49">
        <v>590157</v>
      </c>
      <c r="Q49">
        <v>587384</v>
      </c>
      <c r="R49">
        <v>589355</v>
      </c>
      <c r="S49">
        <v>578645</v>
      </c>
      <c r="T49">
        <v>554023</v>
      </c>
      <c r="U49">
        <f t="shared" si="2"/>
        <v>67.287082873840745</v>
      </c>
      <c r="Y49" s="1" t="s">
        <v>157</v>
      </c>
      <c r="Z49" s="1">
        <v>109604</v>
      </c>
      <c r="AA49" s="1">
        <v>78632</v>
      </c>
      <c r="AB49" s="1">
        <v>78431</v>
      </c>
      <c r="AC49" s="1">
        <v>78499</v>
      </c>
      <c r="AD49" s="1">
        <v>77987</v>
      </c>
      <c r="AE49" s="1">
        <v>75839</v>
      </c>
      <c r="AF49">
        <f t="shared" si="3"/>
        <v>69.193642567789496</v>
      </c>
    </row>
    <row r="50" spans="1:32" x14ac:dyDescent="0.2">
      <c r="A50" t="s">
        <v>63</v>
      </c>
      <c r="B50">
        <v>92947</v>
      </c>
      <c r="C50">
        <v>82016</v>
      </c>
      <c r="D50">
        <v>80965</v>
      </c>
      <c r="E50">
        <v>81263</v>
      </c>
      <c r="F50">
        <v>76972</v>
      </c>
      <c r="G50">
        <v>74517</v>
      </c>
      <c r="H50">
        <f t="shared" si="0"/>
        <v>80.17149558350458</v>
      </c>
      <c r="L50">
        <f t="shared" si="1"/>
        <v>0.13387653865764812</v>
      </c>
      <c r="N50" t="s">
        <v>158</v>
      </c>
      <c r="O50">
        <v>694274</v>
      </c>
      <c r="P50">
        <v>636372</v>
      </c>
      <c r="Q50">
        <v>635751</v>
      </c>
      <c r="R50">
        <v>635782</v>
      </c>
      <c r="S50">
        <v>629353</v>
      </c>
      <c r="T50">
        <v>597530</v>
      </c>
      <c r="U50">
        <f t="shared" si="2"/>
        <v>86.065443902551436</v>
      </c>
      <c r="Y50" s="1" t="s">
        <v>158</v>
      </c>
      <c r="Z50" s="1">
        <v>92841</v>
      </c>
      <c r="AA50" s="1">
        <v>85109</v>
      </c>
      <c r="AB50" s="1">
        <v>84964</v>
      </c>
      <c r="AC50" s="1">
        <v>84965</v>
      </c>
      <c r="AD50" s="1">
        <v>84295</v>
      </c>
      <c r="AE50" s="1">
        <v>80903</v>
      </c>
      <c r="AF50">
        <f t="shared" si="3"/>
        <v>87.14145689943021</v>
      </c>
    </row>
    <row r="51" spans="1:32" x14ac:dyDescent="0.2">
      <c r="A51" t="s">
        <v>64</v>
      </c>
      <c r="B51">
        <v>75016</v>
      </c>
      <c r="C51">
        <v>65239</v>
      </c>
      <c r="D51">
        <v>64596</v>
      </c>
      <c r="E51">
        <v>64777</v>
      </c>
      <c r="F51">
        <v>62484</v>
      </c>
      <c r="G51">
        <v>60289</v>
      </c>
      <c r="H51">
        <f t="shared" si="0"/>
        <v>80.368188119867753</v>
      </c>
      <c r="L51">
        <f t="shared" si="1"/>
        <v>0.12546957426381794</v>
      </c>
      <c r="N51" t="s">
        <v>159</v>
      </c>
      <c r="O51">
        <v>597882</v>
      </c>
      <c r="P51">
        <v>529486</v>
      </c>
      <c r="Q51">
        <v>528924</v>
      </c>
      <c r="R51">
        <v>528961</v>
      </c>
      <c r="S51">
        <v>519337</v>
      </c>
      <c r="T51">
        <v>489260</v>
      </c>
      <c r="U51">
        <f t="shared" si="2"/>
        <v>81.832201002873475</v>
      </c>
      <c r="Y51" s="1" t="s">
        <v>159</v>
      </c>
      <c r="Z51" s="1">
        <v>74894</v>
      </c>
      <c r="AA51" s="1">
        <v>66414</v>
      </c>
      <c r="AB51" s="1">
        <v>66296</v>
      </c>
      <c r="AC51" s="1">
        <v>66338</v>
      </c>
      <c r="AD51" s="1">
        <v>65226</v>
      </c>
      <c r="AE51" s="1">
        <v>62421</v>
      </c>
      <c r="AF51">
        <f t="shared" si="3"/>
        <v>83.345795390819021</v>
      </c>
    </row>
    <row r="52" spans="1:32" x14ac:dyDescent="0.2">
      <c r="A52" t="s">
        <v>65</v>
      </c>
      <c r="B52">
        <v>86869</v>
      </c>
      <c r="C52">
        <v>71354</v>
      </c>
      <c r="D52">
        <v>70520</v>
      </c>
      <c r="E52">
        <v>70769</v>
      </c>
      <c r="F52">
        <v>68441</v>
      </c>
      <c r="G52">
        <v>66165</v>
      </c>
      <c r="H52">
        <f t="shared" si="0"/>
        <v>76.166411493167871</v>
      </c>
      <c r="L52">
        <f t="shared" si="1"/>
        <v>0.12888346201551307</v>
      </c>
      <c r="N52" t="s">
        <v>160</v>
      </c>
      <c r="O52">
        <v>674012</v>
      </c>
      <c r="P52">
        <v>571488</v>
      </c>
      <c r="Q52">
        <v>571052</v>
      </c>
      <c r="R52">
        <v>571071</v>
      </c>
      <c r="S52">
        <v>564472</v>
      </c>
      <c r="T52">
        <v>533780</v>
      </c>
      <c r="U52">
        <f t="shared" si="2"/>
        <v>79.19443570737613</v>
      </c>
      <c r="Y52" s="1" t="s">
        <v>160</v>
      </c>
      <c r="Z52" s="1">
        <v>86628</v>
      </c>
      <c r="AA52" s="1">
        <v>73456</v>
      </c>
      <c r="AB52" s="1">
        <v>73337</v>
      </c>
      <c r="AC52" s="1">
        <v>73381</v>
      </c>
      <c r="AD52" s="1">
        <v>72645</v>
      </c>
      <c r="AE52" s="1">
        <v>69588</v>
      </c>
      <c r="AF52">
        <f t="shared" si="3"/>
        <v>80.329685552015519</v>
      </c>
    </row>
    <row r="53" spans="1:32" x14ac:dyDescent="0.2">
      <c r="A53" t="s">
        <v>66</v>
      </c>
      <c r="B53">
        <v>85533</v>
      </c>
      <c r="C53">
        <v>55390</v>
      </c>
      <c r="D53">
        <v>54642</v>
      </c>
      <c r="E53">
        <v>53782</v>
      </c>
      <c r="F53">
        <v>51443</v>
      </c>
      <c r="G53">
        <v>50402</v>
      </c>
      <c r="H53">
        <f t="shared" si="0"/>
        <v>58.92696386190125</v>
      </c>
      <c r="L53">
        <f t="shared" si="1"/>
        <v>0.13883243952162677</v>
      </c>
      <c r="N53" t="s">
        <v>161</v>
      </c>
      <c r="O53">
        <v>616088</v>
      </c>
      <c r="P53">
        <v>408412</v>
      </c>
      <c r="Q53">
        <v>407894</v>
      </c>
      <c r="R53">
        <v>407780</v>
      </c>
      <c r="S53">
        <v>404732</v>
      </c>
      <c r="T53">
        <v>387054</v>
      </c>
      <c r="U53">
        <f t="shared" si="2"/>
        <v>62.824466634636607</v>
      </c>
      <c r="Y53" s="1" t="s">
        <v>161</v>
      </c>
      <c r="Z53" s="1">
        <v>85436</v>
      </c>
      <c r="AA53" s="1">
        <v>56549</v>
      </c>
      <c r="AB53" s="1">
        <v>56440</v>
      </c>
      <c r="AC53" s="1">
        <v>56423</v>
      </c>
      <c r="AD53" s="1">
        <v>56068</v>
      </c>
      <c r="AE53" s="1">
        <v>54518</v>
      </c>
      <c r="AF53">
        <f t="shared" si="3"/>
        <v>63.811508029402134</v>
      </c>
    </row>
    <row r="54" spans="1:32" x14ac:dyDescent="0.2">
      <c r="A54" t="s">
        <v>67</v>
      </c>
      <c r="B54">
        <v>94342</v>
      </c>
      <c r="C54">
        <v>60576</v>
      </c>
      <c r="D54">
        <v>59521</v>
      </c>
      <c r="E54">
        <v>59907</v>
      </c>
      <c r="F54">
        <v>57397</v>
      </c>
      <c r="G54">
        <v>55756</v>
      </c>
      <c r="H54">
        <f t="shared" si="0"/>
        <v>59.099870683258779</v>
      </c>
      <c r="L54">
        <f t="shared" si="1"/>
        <v>0.13476408214806593</v>
      </c>
      <c r="N54" t="s">
        <v>162</v>
      </c>
      <c r="O54">
        <v>700053</v>
      </c>
      <c r="P54">
        <v>473204</v>
      </c>
      <c r="Q54">
        <v>472398</v>
      </c>
      <c r="R54">
        <v>472451</v>
      </c>
      <c r="S54">
        <v>467904</v>
      </c>
      <c r="T54">
        <v>443073</v>
      </c>
      <c r="U54">
        <f t="shared" si="2"/>
        <v>63.291350797725308</v>
      </c>
      <c r="Y54" s="1" t="s">
        <v>162</v>
      </c>
      <c r="Z54" s="1">
        <v>94188</v>
      </c>
      <c r="AA54" s="1">
        <v>63856</v>
      </c>
      <c r="AB54" s="1">
        <v>63726</v>
      </c>
      <c r="AC54" s="1">
        <v>63695</v>
      </c>
      <c r="AD54" s="1">
        <v>63244</v>
      </c>
      <c r="AE54" s="1">
        <v>61125</v>
      </c>
      <c r="AF54">
        <f t="shared" si="3"/>
        <v>64.896802140400055</v>
      </c>
    </row>
    <row r="55" spans="1:32" x14ac:dyDescent="0.2">
      <c r="A55" t="s">
        <v>68</v>
      </c>
      <c r="B55">
        <v>100737</v>
      </c>
      <c r="C55">
        <v>68836</v>
      </c>
      <c r="D55">
        <v>68033</v>
      </c>
      <c r="E55">
        <v>68124</v>
      </c>
      <c r="F55">
        <v>64934</v>
      </c>
      <c r="G55">
        <v>62990</v>
      </c>
      <c r="H55">
        <f t="shared" si="0"/>
        <v>62.529160090135704</v>
      </c>
      <c r="L55">
        <f t="shared" si="1"/>
        <v>0.14964059341080493</v>
      </c>
      <c r="N55" t="s">
        <v>163</v>
      </c>
      <c r="O55">
        <v>673193</v>
      </c>
      <c r="P55">
        <v>474705</v>
      </c>
      <c r="Q55">
        <v>472576</v>
      </c>
      <c r="R55">
        <v>473486</v>
      </c>
      <c r="S55">
        <v>466094</v>
      </c>
      <c r="T55">
        <v>439985</v>
      </c>
      <c r="U55">
        <f t="shared" si="2"/>
        <v>65.357928558377765</v>
      </c>
      <c r="Y55" s="1" t="s">
        <v>163</v>
      </c>
      <c r="Z55" s="1">
        <v>100518</v>
      </c>
      <c r="AA55" s="1">
        <v>70874</v>
      </c>
      <c r="AB55" s="1">
        <v>70564</v>
      </c>
      <c r="AC55" s="1">
        <v>70625</v>
      </c>
      <c r="AD55" s="1">
        <v>69939</v>
      </c>
      <c r="AE55" s="1">
        <v>67452</v>
      </c>
      <c r="AF55">
        <f t="shared" si="3"/>
        <v>67.104399212081418</v>
      </c>
    </row>
    <row r="56" spans="1:32" x14ac:dyDescent="0.2">
      <c r="A56" t="s">
        <v>69</v>
      </c>
      <c r="B56">
        <v>78705</v>
      </c>
      <c r="C56">
        <v>50832</v>
      </c>
      <c r="D56">
        <v>50063</v>
      </c>
      <c r="E56">
        <v>50428</v>
      </c>
      <c r="F56">
        <v>48297</v>
      </c>
      <c r="G56">
        <v>47061</v>
      </c>
      <c r="H56">
        <f t="shared" si="0"/>
        <v>59.794168096054889</v>
      </c>
      <c r="L56">
        <f t="shared" si="1"/>
        <v>0.11664181825187697</v>
      </c>
      <c r="N56" t="s">
        <v>164</v>
      </c>
      <c r="O56">
        <v>674758</v>
      </c>
      <c r="P56">
        <v>443589</v>
      </c>
      <c r="Q56">
        <v>442920</v>
      </c>
      <c r="R56">
        <v>442868</v>
      </c>
      <c r="S56">
        <v>439293</v>
      </c>
      <c r="T56">
        <v>417356</v>
      </c>
      <c r="U56">
        <f t="shared" si="2"/>
        <v>61.852693854685683</v>
      </c>
      <c r="Y56" s="1" t="s">
        <v>164</v>
      </c>
      <c r="Z56" s="1">
        <v>78579</v>
      </c>
      <c r="AA56" s="1">
        <v>51570</v>
      </c>
      <c r="AB56" s="1">
        <v>51429</v>
      </c>
      <c r="AC56" s="1">
        <v>51414</v>
      </c>
      <c r="AD56" s="1">
        <v>51045</v>
      </c>
      <c r="AE56" s="1">
        <v>49392</v>
      </c>
      <c r="AF56">
        <f t="shared" si="3"/>
        <v>62.856488374756616</v>
      </c>
    </row>
    <row r="57" spans="1:32" x14ac:dyDescent="0.2">
      <c r="A57" t="s">
        <v>70</v>
      </c>
      <c r="B57">
        <v>85494</v>
      </c>
      <c r="C57">
        <v>73836</v>
      </c>
      <c r="D57">
        <v>73049</v>
      </c>
      <c r="E57">
        <v>72980</v>
      </c>
      <c r="F57">
        <v>69923</v>
      </c>
      <c r="G57">
        <v>67507</v>
      </c>
      <c r="H57">
        <f t="shared" si="0"/>
        <v>78.961096685147496</v>
      </c>
      <c r="L57">
        <f t="shared" si="1"/>
        <v>0.12988173096643346</v>
      </c>
      <c r="N57" t="s">
        <v>165</v>
      </c>
      <c r="O57">
        <v>658245</v>
      </c>
      <c r="P57">
        <v>581801</v>
      </c>
      <c r="Q57">
        <v>581087</v>
      </c>
      <c r="R57">
        <v>581358</v>
      </c>
      <c r="S57">
        <v>576000</v>
      </c>
      <c r="T57">
        <v>541692</v>
      </c>
      <c r="U57">
        <f t="shared" si="2"/>
        <v>82.293371009274665</v>
      </c>
      <c r="Y57" s="1" t="s">
        <v>165</v>
      </c>
      <c r="Z57" s="1">
        <v>85276</v>
      </c>
      <c r="AA57" s="1">
        <v>75452</v>
      </c>
      <c r="AB57" s="1">
        <v>75373</v>
      </c>
      <c r="AC57" s="1">
        <v>75362</v>
      </c>
      <c r="AD57" s="1">
        <v>74897</v>
      </c>
      <c r="AE57" s="1">
        <v>71354</v>
      </c>
      <c r="AF57">
        <f t="shared" si="3"/>
        <v>83.674187344622169</v>
      </c>
    </row>
    <row r="58" spans="1:32" x14ac:dyDescent="0.2">
      <c r="A58" t="s">
        <v>71</v>
      </c>
      <c r="B58">
        <v>85199</v>
      </c>
      <c r="C58">
        <v>65888</v>
      </c>
      <c r="D58">
        <v>65211</v>
      </c>
      <c r="E58">
        <v>65194</v>
      </c>
      <c r="F58">
        <v>62101</v>
      </c>
      <c r="G58">
        <v>60492</v>
      </c>
      <c r="H58">
        <f t="shared" si="0"/>
        <v>71.000833343114351</v>
      </c>
      <c r="L58">
        <f t="shared" si="1"/>
        <v>0.26498323619240743</v>
      </c>
      <c r="N58" t="s">
        <v>166</v>
      </c>
      <c r="O58">
        <v>321526</v>
      </c>
      <c r="P58">
        <v>243721</v>
      </c>
      <c r="Q58">
        <v>242780</v>
      </c>
      <c r="R58">
        <v>243218</v>
      </c>
      <c r="S58">
        <v>223491</v>
      </c>
      <c r="T58">
        <v>212050</v>
      </c>
      <c r="U58">
        <f t="shared" si="2"/>
        <v>65.951120593668946</v>
      </c>
      <c r="Y58" s="1" t="s">
        <v>166</v>
      </c>
      <c r="Z58" s="1">
        <v>85161</v>
      </c>
      <c r="AA58" s="1">
        <v>64516</v>
      </c>
      <c r="AB58" s="1">
        <v>64341</v>
      </c>
      <c r="AC58" s="1">
        <v>64365</v>
      </c>
      <c r="AD58" s="1">
        <v>61976</v>
      </c>
      <c r="AE58" s="1">
        <v>59978</v>
      </c>
      <c r="AF58">
        <f t="shared" si="3"/>
        <v>70.428952219912873</v>
      </c>
    </row>
    <row r="59" spans="1:32" x14ac:dyDescent="0.2">
      <c r="A59" t="s">
        <v>72</v>
      </c>
      <c r="B59">
        <v>85919</v>
      </c>
      <c r="C59">
        <v>73311</v>
      </c>
      <c r="D59">
        <v>72695</v>
      </c>
      <c r="E59">
        <v>72764</v>
      </c>
      <c r="F59">
        <v>69619</v>
      </c>
      <c r="G59">
        <v>67179</v>
      </c>
      <c r="H59">
        <f t="shared" si="0"/>
        <v>78.188759180158058</v>
      </c>
      <c r="L59">
        <f t="shared" si="1"/>
        <v>0.10932130174277385</v>
      </c>
      <c r="N59" t="s">
        <v>167</v>
      </c>
      <c r="O59">
        <v>785931</v>
      </c>
      <c r="P59">
        <v>683257</v>
      </c>
      <c r="Q59">
        <v>682052</v>
      </c>
      <c r="R59">
        <v>682570</v>
      </c>
      <c r="S59">
        <v>674401</v>
      </c>
      <c r="T59">
        <v>633400</v>
      </c>
      <c r="U59">
        <f t="shared" si="2"/>
        <v>80.592316628304516</v>
      </c>
      <c r="Y59" s="1" t="s">
        <v>167</v>
      </c>
      <c r="Z59" s="1">
        <v>85630</v>
      </c>
      <c r="AA59" s="1">
        <v>74381</v>
      </c>
      <c r="AB59" s="1">
        <v>74282</v>
      </c>
      <c r="AC59" s="1">
        <v>74276</v>
      </c>
      <c r="AD59" s="1">
        <v>73703</v>
      </c>
      <c r="AE59" s="1">
        <v>70308</v>
      </c>
      <c r="AF59">
        <f t="shared" si="3"/>
        <v>82.106738292654441</v>
      </c>
    </row>
    <row r="60" spans="1:32" x14ac:dyDescent="0.2">
      <c r="A60" t="s">
        <v>73</v>
      </c>
      <c r="B60">
        <v>94395</v>
      </c>
      <c r="C60">
        <v>78856</v>
      </c>
      <c r="D60">
        <v>78164</v>
      </c>
      <c r="E60">
        <v>78217</v>
      </c>
      <c r="F60">
        <v>75074</v>
      </c>
      <c r="G60">
        <v>72402</v>
      </c>
      <c r="H60">
        <f t="shared" si="0"/>
        <v>76.7010964563801</v>
      </c>
      <c r="L60">
        <f t="shared" si="1"/>
        <v>0.13317334755429147</v>
      </c>
      <c r="N60" t="s">
        <v>168</v>
      </c>
      <c r="O60">
        <v>708813</v>
      </c>
      <c r="P60">
        <v>606122</v>
      </c>
      <c r="Q60">
        <v>605215</v>
      </c>
      <c r="R60">
        <v>605520</v>
      </c>
      <c r="S60">
        <v>597557</v>
      </c>
      <c r="T60">
        <v>560898</v>
      </c>
      <c r="U60">
        <f t="shared" si="2"/>
        <v>79.132013662277629</v>
      </c>
      <c r="Y60" s="1" t="s">
        <v>168</v>
      </c>
      <c r="Z60" s="1">
        <v>94294</v>
      </c>
      <c r="AA60" s="1">
        <v>80738</v>
      </c>
      <c r="AB60" s="1">
        <v>80637</v>
      </c>
      <c r="AC60" s="1">
        <v>80593</v>
      </c>
      <c r="AD60" s="1">
        <v>80064</v>
      </c>
      <c r="AE60" s="1">
        <v>76548</v>
      </c>
      <c r="AF60">
        <f t="shared" si="3"/>
        <v>81.18013871508262</v>
      </c>
    </row>
    <row r="61" spans="1:32" x14ac:dyDescent="0.2">
      <c r="A61" t="s">
        <v>74</v>
      </c>
      <c r="B61">
        <v>72982</v>
      </c>
      <c r="C61">
        <v>49953</v>
      </c>
      <c r="D61">
        <v>48973</v>
      </c>
      <c r="E61">
        <v>49294</v>
      </c>
      <c r="F61">
        <v>46927</v>
      </c>
      <c r="G61">
        <v>45559</v>
      </c>
      <c r="H61">
        <f t="shared" si="0"/>
        <v>62.424981502288233</v>
      </c>
      <c r="L61">
        <f t="shared" si="1"/>
        <v>0.2448345617219134</v>
      </c>
      <c r="N61" t="s">
        <v>169</v>
      </c>
      <c r="O61">
        <v>298087</v>
      </c>
      <c r="P61">
        <v>203177</v>
      </c>
      <c r="Q61">
        <v>202734</v>
      </c>
      <c r="R61">
        <v>202828</v>
      </c>
      <c r="S61">
        <v>200733</v>
      </c>
      <c r="T61">
        <v>191006</v>
      </c>
      <c r="U61">
        <f t="shared" si="2"/>
        <v>64.077266033070885</v>
      </c>
      <c r="Y61" s="1" t="s">
        <v>169</v>
      </c>
      <c r="Z61" s="1">
        <v>72982</v>
      </c>
      <c r="AA61" s="1">
        <v>49711</v>
      </c>
      <c r="AB61" s="1">
        <v>49577</v>
      </c>
      <c r="AC61" s="1">
        <v>49599</v>
      </c>
      <c r="AD61" s="1">
        <v>49251</v>
      </c>
      <c r="AE61" s="1">
        <v>47606</v>
      </c>
      <c r="AF61">
        <f t="shared" si="3"/>
        <v>65.229782686141789</v>
      </c>
    </row>
    <row r="62" spans="1:32" x14ac:dyDescent="0.2">
      <c r="A62" t="s">
        <v>75</v>
      </c>
      <c r="B62">
        <v>94898</v>
      </c>
      <c r="C62">
        <v>75701</v>
      </c>
      <c r="D62">
        <v>74987</v>
      </c>
      <c r="E62">
        <v>75291</v>
      </c>
      <c r="F62">
        <v>73033</v>
      </c>
      <c r="G62">
        <v>70349</v>
      </c>
      <c r="H62">
        <f t="shared" si="0"/>
        <v>74.131172416700025</v>
      </c>
      <c r="L62">
        <f t="shared" si="1"/>
        <v>0.12834842259304444</v>
      </c>
      <c r="N62" t="s">
        <v>170</v>
      </c>
      <c r="O62">
        <v>739378</v>
      </c>
      <c r="P62">
        <v>591913</v>
      </c>
      <c r="Q62">
        <v>590333</v>
      </c>
      <c r="R62">
        <v>590623</v>
      </c>
      <c r="S62">
        <v>583003</v>
      </c>
      <c r="T62">
        <v>551206</v>
      </c>
      <c r="U62">
        <f t="shared" si="2"/>
        <v>74.549959560603639</v>
      </c>
      <c r="Y62" s="1" t="s">
        <v>170</v>
      </c>
      <c r="Z62" s="1">
        <v>94675</v>
      </c>
      <c r="AA62" s="1">
        <v>75726</v>
      </c>
      <c r="AB62" s="1">
        <v>75538</v>
      </c>
      <c r="AC62" s="1">
        <v>75603</v>
      </c>
      <c r="AD62" s="1">
        <v>75128</v>
      </c>
      <c r="AE62" s="1">
        <v>72003</v>
      </c>
      <c r="AF62">
        <f t="shared" si="3"/>
        <v>76.052812252442564</v>
      </c>
    </row>
    <row r="63" spans="1:32" x14ac:dyDescent="0.2">
      <c r="A63" t="s">
        <v>76</v>
      </c>
      <c r="B63">
        <v>103722</v>
      </c>
      <c r="C63">
        <v>86226</v>
      </c>
      <c r="D63">
        <v>85483</v>
      </c>
      <c r="E63">
        <v>85589</v>
      </c>
      <c r="F63">
        <v>83316</v>
      </c>
      <c r="G63">
        <v>81340</v>
      </c>
      <c r="H63">
        <f t="shared" si="0"/>
        <v>78.421164266018778</v>
      </c>
      <c r="L63">
        <f t="shared" si="1"/>
        <v>0.13087933012071909</v>
      </c>
      <c r="N63" t="s">
        <v>171</v>
      </c>
      <c r="O63">
        <v>792501</v>
      </c>
      <c r="P63">
        <v>680197</v>
      </c>
      <c r="Q63">
        <v>679644</v>
      </c>
      <c r="R63">
        <v>679521</v>
      </c>
      <c r="S63">
        <v>674755</v>
      </c>
      <c r="T63">
        <v>648566</v>
      </c>
      <c r="U63">
        <f t="shared" si="2"/>
        <v>81.837877807094245</v>
      </c>
      <c r="Y63" s="1" t="s">
        <v>171</v>
      </c>
      <c r="Z63" s="1">
        <v>103402</v>
      </c>
      <c r="AA63" s="1">
        <v>88908</v>
      </c>
      <c r="AB63" s="1">
        <v>88820</v>
      </c>
      <c r="AC63" s="1">
        <v>88850</v>
      </c>
      <c r="AD63" s="1">
        <v>88578</v>
      </c>
      <c r="AE63" s="1">
        <v>85899</v>
      </c>
      <c r="AF63">
        <f t="shared" si="3"/>
        <v>83.072861259936943</v>
      </c>
    </row>
    <row r="64" spans="1:32" x14ac:dyDescent="0.2">
      <c r="A64" t="s">
        <v>77</v>
      </c>
      <c r="B64">
        <v>115562</v>
      </c>
      <c r="C64">
        <v>97476</v>
      </c>
      <c r="D64">
        <v>96655</v>
      </c>
      <c r="E64">
        <v>96781</v>
      </c>
      <c r="F64">
        <v>93619</v>
      </c>
      <c r="G64">
        <v>90128</v>
      </c>
      <c r="H64">
        <f t="shared" si="0"/>
        <v>77.991035115349334</v>
      </c>
      <c r="L64">
        <f t="shared" si="1"/>
        <v>0.13229765311963365</v>
      </c>
      <c r="N64" t="s">
        <v>172</v>
      </c>
      <c r="O64">
        <v>873500</v>
      </c>
      <c r="P64">
        <v>755947</v>
      </c>
      <c r="Q64">
        <v>755235</v>
      </c>
      <c r="R64">
        <v>755212</v>
      </c>
      <c r="S64">
        <v>748829</v>
      </c>
      <c r="T64">
        <v>705948</v>
      </c>
      <c r="U64">
        <f t="shared" si="2"/>
        <v>80.818317115054384</v>
      </c>
      <c r="Y64" s="1" t="s">
        <v>172</v>
      </c>
      <c r="Z64" s="1">
        <v>115285</v>
      </c>
      <c r="AA64" s="1">
        <v>99615</v>
      </c>
      <c r="AB64" s="1">
        <v>99496</v>
      </c>
      <c r="AC64" s="1">
        <v>99546</v>
      </c>
      <c r="AD64" s="1">
        <v>99051</v>
      </c>
      <c r="AE64" s="1">
        <v>94183</v>
      </c>
      <c r="AF64">
        <f t="shared" si="3"/>
        <v>81.695797371730933</v>
      </c>
    </row>
    <row r="65" spans="1:32" x14ac:dyDescent="0.2">
      <c r="A65" t="s">
        <v>78</v>
      </c>
      <c r="B65">
        <v>124850</v>
      </c>
      <c r="C65">
        <v>101946</v>
      </c>
      <c r="D65">
        <v>101164</v>
      </c>
      <c r="E65">
        <v>101108</v>
      </c>
      <c r="F65">
        <v>97231</v>
      </c>
      <c r="G65">
        <v>93397</v>
      </c>
      <c r="H65">
        <f t="shared" si="0"/>
        <v>74.807368842611126</v>
      </c>
      <c r="L65">
        <f t="shared" si="1"/>
        <v>0.14162843776516337</v>
      </c>
      <c r="N65" t="s">
        <v>173</v>
      </c>
      <c r="O65">
        <v>881532</v>
      </c>
      <c r="P65">
        <v>748515</v>
      </c>
      <c r="Q65">
        <v>747195</v>
      </c>
      <c r="R65">
        <v>747831</v>
      </c>
      <c r="S65">
        <v>740621</v>
      </c>
      <c r="T65">
        <v>695173</v>
      </c>
      <c r="U65">
        <f t="shared" si="2"/>
        <v>78.859644346433257</v>
      </c>
      <c r="Y65" s="1" t="s">
        <v>173</v>
      </c>
      <c r="Z65" s="1">
        <v>124656</v>
      </c>
      <c r="AA65" s="1">
        <v>105865</v>
      </c>
      <c r="AB65" s="1">
        <v>105715</v>
      </c>
      <c r="AC65" s="1">
        <v>105748</v>
      </c>
      <c r="AD65" s="1">
        <v>105117</v>
      </c>
      <c r="AE65" s="1">
        <v>100018</v>
      </c>
      <c r="AF65">
        <f t="shared" si="3"/>
        <v>80.23520729046335</v>
      </c>
    </row>
    <row r="66" spans="1:32" x14ac:dyDescent="0.2">
      <c r="A66" t="s">
        <v>79</v>
      </c>
      <c r="B66">
        <v>103701</v>
      </c>
      <c r="C66">
        <v>77106</v>
      </c>
      <c r="D66">
        <v>76132</v>
      </c>
      <c r="E66">
        <v>76121</v>
      </c>
      <c r="F66">
        <v>73033</v>
      </c>
      <c r="G66">
        <v>70911</v>
      </c>
      <c r="H66">
        <f t="shared" si="0"/>
        <v>68.380247056441107</v>
      </c>
      <c r="L66">
        <f t="shared" si="1"/>
        <v>0.16576644260971732</v>
      </c>
      <c r="N66" t="s">
        <v>174</v>
      </c>
      <c r="O66">
        <v>625585</v>
      </c>
      <c r="P66">
        <v>473516</v>
      </c>
      <c r="Q66">
        <v>472607</v>
      </c>
      <c r="R66">
        <v>472683</v>
      </c>
      <c r="S66">
        <v>468012</v>
      </c>
      <c r="T66">
        <v>442635</v>
      </c>
      <c r="U66">
        <f t="shared" si="2"/>
        <v>70.755372970899231</v>
      </c>
      <c r="Y66" s="1" t="s">
        <v>174</v>
      </c>
      <c r="Z66" s="1">
        <v>103677</v>
      </c>
      <c r="AA66" s="1">
        <v>78476</v>
      </c>
      <c r="AB66" s="1">
        <v>78282</v>
      </c>
      <c r="AC66" s="1">
        <v>78277</v>
      </c>
      <c r="AD66" s="1">
        <v>77660</v>
      </c>
      <c r="AE66" s="1">
        <v>74690</v>
      </c>
      <c r="AF66">
        <f t="shared" si="3"/>
        <v>72.041050570521918</v>
      </c>
    </row>
    <row r="67" spans="1:32" x14ac:dyDescent="0.2">
      <c r="A67" t="s">
        <v>80</v>
      </c>
      <c r="B67">
        <v>97198</v>
      </c>
      <c r="C67">
        <v>74970</v>
      </c>
      <c r="D67">
        <v>73834</v>
      </c>
      <c r="E67">
        <v>74194</v>
      </c>
      <c r="F67">
        <v>71088</v>
      </c>
      <c r="G67">
        <v>69119</v>
      </c>
      <c r="H67">
        <f t="shared" si="0"/>
        <v>71.111545505051538</v>
      </c>
      <c r="L67">
        <f t="shared" si="1"/>
        <v>0.13955885858031836</v>
      </c>
      <c r="N67" t="s">
        <v>175</v>
      </c>
      <c r="O67">
        <v>696466</v>
      </c>
      <c r="P67">
        <v>554652</v>
      </c>
      <c r="Q67">
        <v>553796</v>
      </c>
      <c r="R67">
        <v>553885</v>
      </c>
      <c r="S67">
        <v>549367</v>
      </c>
      <c r="T67">
        <v>522507</v>
      </c>
      <c r="U67">
        <f t="shared" si="2"/>
        <v>75.02261416924874</v>
      </c>
      <c r="Y67" s="1" t="s">
        <v>175</v>
      </c>
      <c r="Z67" s="1">
        <v>97049</v>
      </c>
      <c r="AA67" s="1">
        <v>77269</v>
      </c>
      <c r="AB67" s="1">
        <v>77098</v>
      </c>
      <c r="AC67" s="1">
        <v>77119</v>
      </c>
      <c r="AD67" s="1">
        <v>76584</v>
      </c>
      <c r="AE67" s="1">
        <v>74006</v>
      </c>
      <c r="AF67">
        <f t="shared" si="3"/>
        <v>76.256324124926593</v>
      </c>
    </row>
    <row r="68" spans="1:32" x14ac:dyDescent="0.2">
      <c r="A68" t="s">
        <v>81</v>
      </c>
      <c r="B68">
        <v>106867</v>
      </c>
      <c r="C68">
        <v>90913</v>
      </c>
      <c r="D68">
        <v>89720</v>
      </c>
      <c r="E68">
        <v>90394</v>
      </c>
      <c r="F68">
        <v>86693</v>
      </c>
      <c r="G68">
        <v>84086</v>
      </c>
      <c r="H68">
        <f t="shared" ref="H68:H95" si="4">G68/B68*100</f>
        <v>78.682848774645123</v>
      </c>
      <c r="L68">
        <f t="shared" ref="L68:L97" si="5">B68/O68</f>
        <v>0.12576657153785048</v>
      </c>
      <c r="N68" t="s">
        <v>176</v>
      </c>
      <c r="O68">
        <v>849725</v>
      </c>
      <c r="P68">
        <v>744861</v>
      </c>
      <c r="Q68">
        <v>743683</v>
      </c>
      <c r="R68">
        <v>743874</v>
      </c>
      <c r="S68">
        <v>737370</v>
      </c>
      <c r="T68">
        <v>704447</v>
      </c>
      <c r="U68">
        <f t="shared" ref="U68:U97" si="6">T68/O68*100</f>
        <v>82.902939186207306</v>
      </c>
      <c r="Y68" s="1" t="s">
        <v>176</v>
      </c>
      <c r="Z68" s="1">
        <v>106587</v>
      </c>
      <c r="AA68" s="1">
        <v>93361</v>
      </c>
      <c r="AB68" s="1">
        <v>93222</v>
      </c>
      <c r="AC68" s="1">
        <v>93186</v>
      </c>
      <c r="AD68" s="1">
        <v>92802</v>
      </c>
      <c r="AE68" s="1">
        <v>89299</v>
      </c>
      <c r="AF68">
        <f t="shared" ref="AF68:AF97" si="7">AE68/Z68*100</f>
        <v>83.780385975775658</v>
      </c>
    </row>
    <row r="69" spans="1:32" x14ac:dyDescent="0.2">
      <c r="A69" t="s">
        <v>82</v>
      </c>
      <c r="B69">
        <v>85912</v>
      </c>
      <c r="C69">
        <v>60242</v>
      </c>
      <c r="D69">
        <v>59046</v>
      </c>
      <c r="E69">
        <v>57441</v>
      </c>
      <c r="F69">
        <v>53536</v>
      </c>
      <c r="G69">
        <v>52086</v>
      </c>
      <c r="H69">
        <f t="shared" si="4"/>
        <v>60.62715336623522</v>
      </c>
      <c r="L69">
        <f t="shared" si="5"/>
        <v>0.12677238902325114</v>
      </c>
      <c r="N69" t="s">
        <v>177</v>
      </c>
      <c r="O69">
        <v>677687</v>
      </c>
      <c r="P69">
        <v>508242</v>
      </c>
      <c r="Q69">
        <v>506613</v>
      </c>
      <c r="R69">
        <v>506677</v>
      </c>
      <c r="S69">
        <v>500798</v>
      </c>
      <c r="T69">
        <v>477366</v>
      </c>
      <c r="U69">
        <f t="shared" si="6"/>
        <v>70.440483586080305</v>
      </c>
      <c r="Y69" s="1" t="s">
        <v>177</v>
      </c>
      <c r="Z69" s="1">
        <v>85682</v>
      </c>
      <c r="AA69" s="1">
        <v>64327</v>
      </c>
      <c r="AB69" s="1">
        <v>64054</v>
      </c>
      <c r="AC69" s="1">
        <v>64065</v>
      </c>
      <c r="AD69" s="1">
        <v>63459</v>
      </c>
      <c r="AE69" s="1">
        <v>61387</v>
      </c>
      <c r="AF69">
        <f t="shared" si="7"/>
        <v>71.645153007632871</v>
      </c>
    </row>
    <row r="70" spans="1:32" x14ac:dyDescent="0.2">
      <c r="A70" t="s">
        <v>83</v>
      </c>
      <c r="B70">
        <v>116328</v>
      </c>
      <c r="C70">
        <v>93307</v>
      </c>
      <c r="D70">
        <v>92064</v>
      </c>
      <c r="E70">
        <v>92495</v>
      </c>
      <c r="F70">
        <v>87629</v>
      </c>
      <c r="G70">
        <v>83923</v>
      </c>
      <c r="H70">
        <f t="shared" si="4"/>
        <v>72.143422048002208</v>
      </c>
      <c r="L70">
        <f t="shared" si="5"/>
        <v>0.13940963504559384</v>
      </c>
      <c r="N70" t="s">
        <v>178</v>
      </c>
      <c r="O70">
        <v>834433</v>
      </c>
      <c r="P70">
        <v>698571</v>
      </c>
      <c r="Q70">
        <v>696331</v>
      </c>
      <c r="R70">
        <v>697740</v>
      </c>
      <c r="S70">
        <v>688003</v>
      </c>
      <c r="T70">
        <v>645648</v>
      </c>
      <c r="U70">
        <f t="shared" si="6"/>
        <v>77.375655085549113</v>
      </c>
      <c r="Y70" s="1" t="s">
        <v>178</v>
      </c>
      <c r="Z70" s="1">
        <v>115991</v>
      </c>
      <c r="AA70" s="1">
        <v>96917</v>
      </c>
      <c r="AB70" s="1">
        <v>96707</v>
      </c>
      <c r="AC70" s="1">
        <v>96770</v>
      </c>
      <c r="AD70" s="1">
        <v>96153</v>
      </c>
      <c r="AE70" s="1">
        <v>91621</v>
      </c>
      <c r="AF70">
        <f t="shared" si="7"/>
        <v>78.989749204679669</v>
      </c>
    </row>
    <row r="71" spans="1:32" x14ac:dyDescent="0.2">
      <c r="A71" t="s">
        <v>84</v>
      </c>
      <c r="B71">
        <v>98704</v>
      </c>
      <c r="C71">
        <v>79253</v>
      </c>
      <c r="D71">
        <v>78470</v>
      </c>
      <c r="E71">
        <v>78664</v>
      </c>
      <c r="F71">
        <v>75620</v>
      </c>
      <c r="G71">
        <v>73567</v>
      </c>
      <c r="H71">
        <f t="shared" si="4"/>
        <v>74.532946993029668</v>
      </c>
      <c r="L71">
        <f t="shared" si="5"/>
        <v>0.12775744930357538</v>
      </c>
      <c r="N71" t="s">
        <v>179</v>
      </c>
      <c r="O71">
        <v>772589</v>
      </c>
      <c r="P71">
        <v>627426</v>
      </c>
      <c r="Q71">
        <v>626619</v>
      </c>
      <c r="R71">
        <v>626882</v>
      </c>
      <c r="S71">
        <v>620548</v>
      </c>
      <c r="T71">
        <v>591425</v>
      </c>
      <c r="U71">
        <f t="shared" si="6"/>
        <v>76.551051076316128</v>
      </c>
      <c r="Y71" s="1" t="s">
        <v>179</v>
      </c>
      <c r="Z71" s="1">
        <v>98456</v>
      </c>
      <c r="AA71" s="1">
        <v>80105</v>
      </c>
      <c r="AB71" s="1">
        <v>79985</v>
      </c>
      <c r="AC71" s="1">
        <v>79891</v>
      </c>
      <c r="AD71" s="1">
        <v>79323</v>
      </c>
      <c r="AE71" s="1">
        <v>76822</v>
      </c>
      <c r="AF71">
        <f t="shared" si="7"/>
        <v>78.026732753717397</v>
      </c>
    </row>
    <row r="72" spans="1:32" x14ac:dyDescent="0.2">
      <c r="A72" t="s">
        <v>85</v>
      </c>
      <c r="B72">
        <v>99929</v>
      </c>
      <c r="C72">
        <v>73023</v>
      </c>
      <c r="D72">
        <v>72423</v>
      </c>
      <c r="E72">
        <v>72354</v>
      </c>
      <c r="F72">
        <v>69842</v>
      </c>
      <c r="G72">
        <v>67381</v>
      </c>
      <c r="H72">
        <f t="shared" si="4"/>
        <v>67.428874500895645</v>
      </c>
      <c r="L72">
        <f t="shared" si="5"/>
        <v>0.13529954940317584</v>
      </c>
      <c r="N72" t="s">
        <v>180</v>
      </c>
      <c r="O72">
        <v>738576</v>
      </c>
      <c r="P72">
        <v>554198</v>
      </c>
      <c r="Q72">
        <v>553295</v>
      </c>
      <c r="R72">
        <v>552963</v>
      </c>
      <c r="S72">
        <v>546585</v>
      </c>
      <c r="T72">
        <v>516372</v>
      </c>
      <c r="U72">
        <f t="shared" si="6"/>
        <v>69.91453824657178</v>
      </c>
      <c r="Y72" s="1" t="s">
        <v>180</v>
      </c>
      <c r="Z72" s="1">
        <v>99694</v>
      </c>
      <c r="AA72" s="1">
        <v>74812</v>
      </c>
      <c r="AB72" s="1">
        <v>74641</v>
      </c>
      <c r="AC72" s="1">
        <v>74708</v>
      </c>
      <c r="AD72" s="1">
        <v>74200</v>
      </c>
      <c r="AE72" s="1">
        <v>71099</v>
      </c>
      <c r="AF72">
        <f t="shared" si="7"/>
        <v>71.317230726021634</v>
      </c>
    </row>
    <row r="73" spans="1:32" x14ac:dyDescent="0.2">
      <c r="A73" t="s">
        <v>86</v>
      </c>
      <c r="B73">
        <v>100883</v>
      </c>
      <c r="C73">
        <v>73426</v>
      </c>
      <c r="D73">
        <v>72483</v>
      </c>
      <c r="E73">
        <v>72883</v>
      </c>
      <c r="F73">
        <v>70127</v>
      </c>
      <c r="G73">
        <v>67741</v>
      </c>
      <c r="H73">
        <f t="shared" si="4"/>
        <v>67.14808243212434</v>
      </c>
      <c r="L73">
        <f t="shared" si="5"/>
        <v>0.13457364713352515</v>
      </c>
      <c r="N73" t="s">
        <v>181</v>
      </c>
      <c r="O73">
        <v>749649</v>
      </c>
      <c r="P73">
        <v>572279</v>
      </c>
      <c r="Q73">
        <v>571302</v>
      </c>
      <c r="R73">
        <v>570940</v>
      </c>
      <c r="S73">
        <v>564588</v>
      </c>
      <c r="T73">
        <v>534521</v>
      </c>
      <c r="U73">
        <f t="shared" si="6"/>
        <v>71.302836394099103</v>
      </c>
      <c r="Y73" s="1" t="s">
        <v>181</v>
      </c>
      <c r="Z73" s="1">
        <v>100607</v>
      </c>
      <c r="AA73" s="1">
        <v>76764</v>
      </c>
      <c r="AB73" s="1">
        <v>76597</v>
      </c>
      <c r="AC73" s="1">
        <v>76662</v>
      </c>
      <c r="AD73" s="1">
        <v>76184</v>
      </c>
      <c r="AE73" s="1">
        <v>73137</v>
      </c>
      <c r="AF73">
        <f t="shared" si="7"/>
        <v>72.695736877155667</v>
      </c>
    </row>
    <row r="74" spans="1:32" x14ac:dyDescent="0.2">
      <c r="A74" t="s">
        <v>87</v>
      </c>
      <c r="B74">
        <v>98788</v>
      </c>
      <c r="C74">
        <v>70569</v>
      </c>
      <c r="D74">
        <v>69679</v>
      </c>
      <c r="E74">
        <v>69770</v>
      </c>
      <c r="F74">
        <v>67046</v>
      </c>
      <c r="G74">
        <v>64510</v>
      </c>
      <c r="H74">
        <f t="shared" si="4"/>
        <v>65.301453617848324</v>
      </c>
      <c r="L74">
        <f t="shared" si="5"/>
        <v>0.15288757374471484</v>
      </c>
      <c r="N74" t="s">
        <v>182</v>
      </c>
      <c r="O74">
        <v>646148</v>
      </c>
      <c r="P74">
        <v>475840</v>
      </c>
      <c r="Q74">
        <v>474956</v>
      </c>
      <c r="R74">
        <v>474787</v>
      </c>
      <c r="S74">
        <v>468807</v>
      </c>
      <c r="T74">
        <v>442323</v>
      </c>
      <c r="U74">
        <f t="shared" si="6"/>
        <v>68.455369358103709</v>
      </c>
      <c r="Y74" s="1" t="s">
        <v>182</v>
      </c>
      <c r="Z74" s="1">
        <v>98625</v>
      </c>
      <c r="AA74" s="1">
        <v>72615</v>
      </c>
      <c r="AB74" s="1">
        <v>72462</v>
      </c>
      <c r="AC74" s="1">
        <v>72517</v>
      </c>
      <c r="AD74" s="1">
        <v>72009</v>
      </c>
      <c r="AE74" s="1">
        <v>68861</v>
      </c>
      <c r="AF74">
        <f t="shared" si="7"/>
        <v>69.821039290240819</v>
      </c>
    </row>
    <row r="75" spans="1:32" x14ac:dyDescent="0.2">
      <c r="A75" t="s">
        <v>88</v>
      </c>
      <c r="B75">
        <v>101957</v>
      </c>
      <c r="C75">
        <v>71329</v>
      </c>
      <c r="D75">
        <v>70351</v>
      </c>
      <c r="E75">
        <v>70724</v>
      </c>
      <c r="F75">
        <v>67510</v>
      </c>
      <c r="G75">
        <v>64714</v>
      </c>
      <c r="H75">
        <f t="shared" si="4"/>
        <v>63.471855782339617</v>
      </c>
      <c r="L75">
        <f t="shared" si="5"/>
        <v>0.1397377578529421</v>
      </c>
      <c r="N75" t="s">
        <v>183</v>
      </c>
      <c r="O75">
        <v>729631</v>
      </c>
      <c r="P75">
        <v>534119</v>
      </c>
      <c r="Q75">
        <v>533105</v>
      </c>
      <c r="R75">
        <v>533503</v>
      </c>
      <c r="S75">
        <v>527592</v>
      </c>
      <c r="T75">
        <v>494256</v>
      </c>
      <c r="U75">
        <f t="shared" si="6"/>
        <v>67.740542822330738</v>
      </c>
      <c r="Y75" s="1" t="s">
        <v>183</v>
      </c>
      <c r="Z75" s="1">
        <v>101788</v>
      </c>
      <c r="AA75" s="1">
        <v>74554</v>
      </c>
      <c r="AB75" s="1">
        <v>74413</v>
      </c>
      <c r="AC75" s="1">
        <v>74432</v>
      </c>
      <c r="AD75" s="1">
        <v>73922</v>
      </c>
      <c r="AE75" s="1">
        <v>70334</v>
      </c>
      <c r="AF75">
        <f t="shared" si="7"/>
        <v>69.098518489409358</v>
      </c>
    </row>
    <row r="76" spans="1:32" x14ac:dyDescent="0.2">
      <c r="A76" t="s">
        <v>89</v>
      </c>
      <c r="B76">
        <v>111440</v>
      </c>
      <c r="C76">
        <v>80488</v>
      </c>
      <c r="D76">
        <v>79526</v>
      </c>
      <c r="E76">
        <v>79747</v>
      </c>
      <c r="F76">
        <v>76512</v>
      </c>
      <c r="G76">
        <v>73606</v>
      </c>
      <c r="H76">
        <f t="shared" si="4"/>
        <v>66.049892318736539</v>
      </c>
      <c r="L76">
        <f t="shared" si="5"/>
        <v>0.13147928351813268</v>
      </c>
      <c r="N76" t="s">
        <v>184</v>
      </c>
      <c r="O76">
        <v>847586</v>
      </c>
      <c r="P76">
        <v>620502</v>
      </c>
      <c r="Q76">
        <v>618758</v>
      </c>
      <c r="R76">
        <v>619653</v>
      </c>
      <c r="S76">
        <v>611024</v>
      </c>
      <c r="T76">
        <v>574580</v>
      </c>
      <c r="U76">
        <f t="shared" si="6"/>
        <v>67.790171144874975</v>
      </c>
      <c r="Y76" s="1" t="s">
        <v>184</v>
      </c>
      <c r="Z76" s="1">
        <v>111155</v>
      </c>
      <c r="AA76" s="1">
        <v>81359</v>
      </c>
      <c r="AB76" s="1">
        <v>81174</v>
      </c>
      <c r="AC76" s="1">
        <v>81236</v>
      </c>
      <c r="AD76" s="1">
        <v>80587</v>
      </c>
      <c r="AE76" s="1">
        <v>76909</v>
      </c>
      <c r="AF76">
        <f t="shared" si="7"/>
        <v>69.190769645989832</v>
      </c>
    </row>
    <row r="77" spans="1:32" x14ac:dyDescent="0.2">
      <c r="A77" t="s">
        <v>90</v>
      </c>
      <c r="B77">
        <v>93479</v>
      </c>
      <c r="C77">
        <v>71544</v>
      </c>
      <c r="D77">
        <v>70979</v>
      </c>
      <c r="E77">
        <v>70889</v>
      </c>
      <c r="F77">
        <v>68828</v>
      </c>
      <c r="G77">
        <v>66228</v>
      </c>
      <c r="H77">
        <f t="shared" si="4"/>
        <v>70.847997946062762</v>
      </c>
      <c r="L77">
        <f t="shared" si="5"/>
        <v>0.14578121978453842</v>
      </c>
      <c r="N77" t="s">
        <v>185</v>
      </c>
      <c r="O77">
        <v>641228</v>
      </c>
      <c r="P77">
        <v>503032</v>
      </c>
      <c r="Q77">
        <v>501452</v>
      </c>
      <c r="R77">
        <v>502113</v>
      </c>
      <c r="S77">
        <v>494375</v>
      </c>
      <c r="T77">
        <v>466750</v>
      </c>
      <c r="U77">
        <f t="shared" si="6"/>
        <v>72.790021645966789</v>
      </c>
      <c r="Y77" s="1" t="s">
        <v>185</v>
      </c>
      <c r="Z77" s="1">
        <v>93398</v>
      </c>
      <c r="AA77" s="1">
        <v>73311</v>
      </c>
      <c r="AB77" s="1">
        <v>73140</v>
      </c>
      <c r="AC77" s="1">
        <v>73225</v>
      </c>
      <c r="AD77" s="1">
        <v>72733</v>
      </c>
      <c r="AE77" s="1">
        <v>69514</v>
      </c>
      <c r="AF77">
        <f t="shared" si="7"/>
        <v>74.427717938285625</v>
      </c>
    </row>
    <row r="78" spans="1:32" x14ac:dyDescent="0.2">
      <c r="A78" t="s">
        <v>91</v>
      </c>
      <c r="B78">
        <v>81074</v>
      </c>
      <c r="C78">
        <v>59908</v>
      </c>
      <c r="D78">
        <v>59195</v>
      </c>
      <c r="E78">
        <v>59513</v>
      </c>
      <c r="F78">
        <v>57277</v>
      </c>
      <c r="G78">
        <v>55109</v>
      </c>
      <c r="H78">
        <f t="shared" si="4"/>
        <v>67.973703036731877</v>
      </c>
      <c r="L78">
        <f t="shared" si="5"/>
        <v>0.13175822818547628</v>
      </c>
      <c r="N78" t="s">
        <v>186</v>
      </c>
      <c r="O78">
        <v>615324</v>
      </c>
      <c r="P78">
        <v>473214</v>
      </c>
      <c r="Q78">
        <v>472064</v>
      </c>
      <c r="R78">
        <v>472419</v>
      </c>
      <c r="S78">
        <v>466300</v>
      </c>
      <c r="T78">
        <v>439060</v>
      </c>
      <c r="U78">
        <f t="shared" si="6"/>
        <v>71.354278396422046</v>
      </c>
      <c r="Y78" s="1" t="s">
        <v>186</v>
      </c>
      <c r="Z78" s="1">
        <v>80986</v>
      </c>
      <c r="AA78" s="1">
        <v>62320</v>
      </c>
      <c r="AB78" s="1">
        <v>62185</v>
      </c>
      <c r="AC78" s="1">
        <v>62242</v>
      </c>
      <c r="AD78" s="1">
        <v>61823</v>
      </c>
      <c r="AE78" s="1">
        <v>59035</v>
      </c>
      <c r="AF78">
        <f t="shared" si="7"/>
        <v>72.895315239671049</v>
      </c>
    </row>
    <row r="79" spans="1:32" x14ac:dyDescent="0.2">
      <c r="A79" t="s">
        <v>92</v>
      </c>
      <c r="B79">
        <v>82013</v>
      </c>
      <c r="C79">
        <v>58323</v>
      </c>
      <c r="D79">
        <v>57620</v>
      </c>
      <c r="E79">
        <v>57648</v>
      </c>
      <c r="F79">
        <v>55318</v>
      </c>
      <c r="G79">
        <v>53315</v>
      </c>
      <c r="H79">
        <f t="shared" si="4"/>
        <v>65.007986538719479</v>
      </c>
      <c r="L79">
        <f t="shared" si="5"/>
        <v>0.13574670369867683</v>
      </c>
      <c r="N79" t="s">
        <v>187</v>
      </c>
      <c r="O79">
        <v>604162</v>
      </c>
      <c r="P79">
        <v>444654</v>
      </c>
      <c r="Q79">
        <v>443847</v>
      </c>
      <c r="R79">
        <v>443798</v>
      </c>
      <c r="S79">
        <v>438675</v>
      </c>
      <c r="T79">
        <v>413414</v>
      </c>
      <c r="U79">
        <f t="shared" si="6"/>
        <v>68.427673372373633</v>
      </c>
      <c r="Y79" s="1" t="s">
        <v>187</v>
      </c>
      <c r="Z79" s="1">
        <v>81977</v>
      </c>
      <c r="AA79" s="1">
        <v>60337</v>
      </c>
      <c r="AB79" s="1">
        <v>60195</v>
      </c>
      <c r="AC79" s="1">
        <v>60230</v>
      </c>
      <c r="AD79" s="1">
        <v>59764</v>
      </c>
      <c r="AE79" s="1">
        <v>57203</v>
      </c>
      <c r="AF79">
        <f t="shared" si="7"/>
        <v>69.779328348195222</v>
      </c>
    </row>
    <row r="80" spans="1:32" x14ac:dyDescent="0.2">
      <c r="A80" t="s">
        <v>93</v>
      </c>
      <c r="B80">
        <v>75086</v>
      </c>
      <c r="C80">
        <v>50710</v>
      </c>
      <c r="D80">
        <v>49454</v>
      </c>
      <c r="E80">
        <v>49955</v>
      </c>
      <c r="F80">
        <v>47336</v>
      </c>
      <c r="G80">
        <v>46173</v>
      </c>
      <c r="H80">
        <f t="shared" si="4"/>
        <v>61.493487467703702</v>
      </c>
      <c r="L80">
        <f t="shared" si="5"/>
        <v>0.13447692869782002</v>
      </c>
      <c r="N80" t="s">
        <v>188</v>
      </c>
      <c r="O80">
        <v>558356</v>
      </c>
      <c r="P80">
        <v>395441</v>
      </c>
      <c r="Q80">
        <v>393860</v>
      </c>
      <c r="R80">
        <v>393871</v>
      </c>
      <c r="S80">
        <v>389621</v>
      </c>
      <c r="T80">
        <v>372063</v>
      </c>
      <c r="U80">
        <f t="shared" si="6"/>
        <v>66.635444053614549</v>
      </c>
      <c r="Y80" s="1" t="s">
        <v>188</v>
      </c>
      <c r="Z80" s="1">
        <v>75008</v>
      </c>
      <c r="AA80" s="1">
        <v>53143</v>
      </c>
      <c r="AB80" s="1">
        <v>52858</v>
      </c>
      <c r="AC80" s="1">
        <v>52843</v>
      </c>
      <c r="AD80" s="1">
        <v>52232</v>
      </c>
      <c r="AE80" s="1">
        <v>50884</v>
      </c>
      <c r="AF80">
        <f t="shared" si="7"/>
        <v>67.838097269624569</v>
      </c>
    </row>
    <row r="81" spans="1:32" x14ac:dyDescent="0.2">
      <c r="A81" t="s">
        <v>94</v>
      </c>
      <c r="B81">
        <v>95131</v>
      </c>
      <c r="C81">
        <v>69910</v>
      </c>
      <c r="D81">
        <v>69004</v>
      </c>
      <c r="E81">
        <v>69366</v>
      </c>
      <c r="F81">
        <v>66799</v>
      </c>
      <c r="G81">
        <v>64634</v>
      </c>
      <c r="H81">
        <f t="shared" si="4"/>
        <v>67.942100892453567</v>
      </c>
      <c r="L81">
        <f t="shared" si="5"/>
        <v>0.14023261298976974</v>
      </c>
      <c r="N81" t="s">
        <v>189</v>
      </c>
      <c r="O81">
        <v>678380</v>
      </c>
      <c r="P81">
        <v>522910</v>
      </c>
      <c r="Q81">
        <v>522105</v>
      </c>
      <c r="R81">
        <v>521640</v>
      </c>
      <c r="S81">
        <v>516298</v>
      </c>
      <c r="T81">
        <v>489245</v>
      </c>
      <c r="U81">
        <f t="shared" si="6"/>
        <v>72.119608479023555</v>
      </c>
      <c r="Y81" s="1" t="s">
        <v>189</v>
      </c>
      <c r="Z81" s="1">
        <v>94892</v>
      </c>
      <c r="AA81" s="1">
        <v>73295</v>
      </c>
      <c r="AB81" s="1">
        <v>73161</v>
      </c>
      <c r="AC81" s="1">
        <v>73189</v>
      </c>
      <c r="AD81" s="1">
        <v>72783</v>
      </c>
      <c r="AE81" s="1">
        <v>69897</v>
      </c>
      <c r="AF81">
        <f t="shared" si="7"/>
        <v>73.659528727395355</v>
      </c>
    </row>
    <row r="82" spans="1:32" x14ac:dyDescent="0.2">
      <c r="A82" t="s">
        <v>95</v>
      </c>
      <c r="B82">
        <v>98906</v>
      </c>
      <c r="C82">
        <v>70103</v>
      </c>
      <c r="D82">
        <v>69383</v>
      </c>
      <c r="E82">
        <v>69462</v>
      </c>
      <c r="F82">
        <v>66959</v>
      </c>
      <c r="G82">
        <v>64413</v>
      </c>
      <c r="H82">
        <f t="shared" si="4"/>
        <v>65.125472671020972</v>
      </c>
      <c r="L82">
        <f t="shared" si="5"/>
        <v>0.13068888286943137</v>
      </c>
      <c r="N82" t="s">
        <v>190</v>
      </c>
      <c r="O82">
        <v>756805</v>
      </c>
      <c r="P82">
        <v>560193</v>
      </c>
      <c r="Q82">
        <v>559186</v>
      </c>
      <c r="R82">
        <v>559145</v>
      </c>
      <c r="S82">
        <v>552818</v>
      </c>
      <c r="T82">
        <v>519429</v>
      </c>
      <c r="U82">
        <f t="shared" si="6"/>
        <v>68.634456696242765</v>
      </c>
      <c r="Y82" s="1" t="s">
        <v>190</v>
      </c>
      <c r="Z82" s="1">
        <v>98633</v>
      </c>
      <c r="AA82" s="1">
        <v>72975</v>
      </c>
      <c r="AB82" s="1">
        <v>72808</v>
      </c>
      <c r="AC82" s="1">
        <v>72856</v>
      </c>
      <c r="AD82" s="1">
        <v>72379</v>
      </c>
      <c r="AE82" s="1">
        <v>69217</v>
      </c>
      <c r="AF82">
        <f t="shared" si="7"/>
        <v>70.176310159885631</v>
      </c>
    </row>
    <row r="83" spans="1:32" x14ac:dyDescent="0.2">
      <c r="A83" t="s">
        <v>96</v>
      </c>
      <c r="B83">
        <v>96204</v>
      </c>
      <c r="C83">
        <v>69017</v>
      </c>
      <c r="D83">
        <v>68269</v>
      </c>
      <c r="E83">
        <v>68469</v>
      </c>
      <c r="F83">
        <v>66086</v>
      </c>
      <c r="G83">
        <v>64188</v>
      </c>
      <c r="H83">
        <f t="shared" si="4"/>
        <v>66.720718473244361</v>
      </c>
      <c r="L83">
        <f t="shared" si="5"/>
        <v>0.13328825920579018</v>
      </c>
      <c r="N83" t="s">
        <v>191</v>
      </c>
      <c r="O83">
        <v>721774</v>
      </c>
      <c r="P83">
        <v>542811</v>
      </c>
      <c r="Q83">
        <v>542094</v>
      </c>
      <c r="R83">
        <v>541365</v>
      </c>
      <c r="S83">
        <v>535919</v>
      </c>
      <c r="T83">
        <v>511257</v>
      </c>
      <c r="U83">
        <f t="shared" si="6"/>
        <v>70.833391061467992</v>
      </c>
      <c r="Y83" s="1" t="s">
        <v>191</v>
      </c>
      <c r="Z83" s="1">
        <v>96090</v>
      </c>
      <c r="AA83" s="1">
        <v>72182</v>
      </c>
      <c r="AB83" s="1">
        <v>71979</v>
      </c>
      <c r="AC83" s="1">
        <v>72061</v>
      </c>
      <c r="AD83" s="1">
        <v>71622</v>
      </c>
      <c r="AE83" s="1">
        <v>69112</v>
      </c>
      <c r="AF83">
        <f t="shared" si="7"/>
        <v>71.924237693828701</v>
      </c>
    </row>
    <row r="84" spans="1:32" x14ac:dyDescent="0.2">
      <c r="A84" t="s">
        <v>97</v>
      </c>
      <c r="B84">
        <v>124374</v>
      </c>
      <c r="C84">
        <v>93793</v>
      </c>
      <c r="D84">
        <v>92726</v>
      </c>
      <c r="E84">
        <v>93020</v>
      </c>
      <c r="F84">
        <v>88572</v>
      </c>
      <c r="G84">
        <v>85365</v>
      </c>
      <c r="H84">
        <f t="shared" si="4"/>
        <v>68.635727724444024</v>
      </c>
      <c r="L84">
        <f t="shared" si="5"/>
        <v>0.13474783128731666</v>
      </c>
      <c r="N84" t="s">
        <v>192</v>
      </c>
      <c r="O84">
        <v>923013</v>
      </c>
      <c r="P84">
        <v>707250</v>
      </c>
      <c r="Q84">
        <v>705107</v>
      </c>
      <c r="R84">
        <v>706453</v>
      </c>
      <c r="S84">
        <v>694714</v>
      </c>
      <c r="T84">
        <v>655882</v>
      </c>
      <c r="U84">
        <f t="shared" si="6"/>
        <v>71.058804155521102</v>
      </c>
      <c r="Y84" s="1" t="s">
        <v>192</v>
      </c>
      <c r="Z84" s="1">
        <v>123942</v>
      </c>
      <c r="AA84" s="1">
        <v>94758</v>
      </c>
      <c r="AB84" s="1">
        <v>94571</v>
      </c>
      <c r="AC84" s="1">
        <v>94562</v>
      </c>
      <c r="AD84" s="1">
        <v>93403</v>
      </c>
      <c r="AE84" s="1">
        <v>89606</v>
      </c>
      <c r="AF84">
        <f t="shared" si="7"/>
        <v>72.2967194332833</v>
      </c>
    </row>
    <row r="85" spans="1:32" x14ac:dyDescent="0.2">
      <c r="A85" t="s">
        <v>98</v>
      </c>
      <c r="B85">
        <v>97019</v>
      </c>
      <c r="C85">
        <v>71999</v>
      </c>
      <c r="D85">
        <v>71318</v>
      </c>
      <c r="E85">
        <v>70971</v>
      </c>
      <c r="F85">
        <v>68331</v>
      </c>
      <c r="G85">
        <v>65889</v>
      </c>
      <c r="H85">
        <f t="shared" si="4"/>
        <v>67.913501479091721</v>
      </c>
      <c r="L85">
        <f t="shared" si="5"/>
        <v>0.13580734251883084</v>
      </c>
      <c r="N85" t="s">
        <v>193</v>
      </c>
      <c r="O85">
        <v>714387</v>
      </c>
      <c r="P85">
        <v>555176</v>
      </c>
      <c r="Q85">
        <v>554276</v>
      </c>
      <c r="R85">
        <v>554084</v>
      </c>
      <c r="S85">
        <v>548302</v>
      </c>
      <c r="T85">
        <v>515536</v>
      </c>
      <c r="U85">
        <f t="shared" si="6"/>
        <v>72.164807030363093</v>
      </c>
      <c r="Y85" s="1" t="s">
        <v>193</v>
      </c>
      <c r="Z85" s="1">
        <v>96894</v>
      </c>
      <c r="AA85" s="1">
        <v>75287</v>
      </c>
      <c r="AB85" s="1">
        <v>75026</v>
      </c>
      <c r="AC85" s="1">
        <v>75166</v>
      </c>
      <c r="AD85" s="1">
        <v>74594</v>
      </c>
      <c r="AE85" s="1">
        <v>71282</v>
      </c>
      <c r="AF85">
        <f t="shared" si="7"/>
        <v>73.566990732140283</v>
      </c>
    </row>
    <row r="86" spans="1:32" x14ac:dyDescent="0.2">
      <c r="A86" t="s">
        <v>99</v>
      </c>
      <c r="B86">
        <v>77989</v>
      </c>
      <c r="C86">
        <v>52087</v>
      </c>
      <c r="D86">
        <v>51526</v>
      </c>
      <c r="E86">
        <v>51642</v>
      </c>
      <c r="F86">
        <v>49331</v>
      </c>
      <c r="G86">
        <v>47135</v>
      </c>
      <c r="H86">
        <f t="shared" si="4"/>
        <v>60.438010488658655</v>
      </c>
      <c r="L86">
        <f t="shared" si="5"/>
        <v>0.14354684336462359</v>
      </c>
      <c r="N86" t="s">
        <v>194</v>
      </c>
      <c r="O86">
        <v>543300</v>
      </c>
      <c r="P86">
        <v>379227</v>
      </c>
      <c r="Q86">
        <v>378482</v>
      </c>
      <c r="R86">
        <v>378726</v>
      </c>
      <c r="S86">
        <v>374188</v>
      </c>
      <c r="T86">
        <v>348463</v>
      </c>
      <c r="U86">
        <f t="shared" si="6"/>
        <v>64.138229339223258</v>
      </c>
      <c r="Y86" s="1" t="s">
        <v>194</v>
      </c>
      <c r="Z86" s="1">
        <v>77850</v>
      </c>
      <c r="AA86" s="1">
        <v>54313</v>
      </c>
      <c r="AB86" s="1">
        <v>54179</v>
      </c>
      <c r="AC86" s="1">
        <v>54208</v>
      </c>
      <c r="AD86" s="1">
        <v>53781</v>
      </c>
      <c r="AE86" s="1">
        <v>51047</v>
      </c>
      <c r="AF86">
        <f t="shared" si="7"/>
        <v>65.570969813744384</v>
      </c>
    </row>
    <row r="87" spans="1:32" x14ac:dyDescent="0.2">
      <c r="A87" t="s">
        <v>100</v>
      </c>
      <c r="B87">
        <v>96219</v>
      </c>
      <c r="C87">
        <v>67068</v>
      </c>
      <c r="D87">
        <v>66056</v>
      </c>
      <c r="E87">
        <v>66541</v>
      </c>
      <c r="F87">
        <v>63418</v>
      </c>
      <c r="G87">
        <v>60736</v>
      </c>
      <c r="H87">
        <f t="shared" si="4"/>
        <v>63.122668080108923</v>
      </c>
      <c r="L87">
        <f t="shared" si="5"/>
        <v>0.13382373803543265</v>
      </c>
      <c r="N87" t="s">
        <v>195</v>
      </c>
      <c r="O87">
        <v>718998</v>
      </c>
      <c r="P87">
        <v>510104</v>
      </c>
      <c r="Q87">
        <v>509159</v>
      </c>
      <c r="R87">
        <v>509329</v>
      </c>
      <c r="S87">
        <v>503163</v>
      </c>
      <c r="T87">
        <v>471760</v>
      </c>
      <c r="U87">
        <f t="shared" si="6"/>
        <v>65.613534390916257</v>
      </c>
      <c r="Y87" s="1" t="s">
        <v>195</v>
      </c>
      <c r="Z87" s="1">
        <v>96120</v>
      </c>
      <c r="AA87" s="1">
        <v>68211</v>
      </c>
      <c r="AB87" s="1">
        <v>68045</v>
      </c>
      <c r="AC87" s="1">
        <v>68082</v>
      </c>
      <c r="AD87" s="1">
        <v>67543</v>
      </c>
      <c r="AE87" s="1">
        <v>64342</v>
      </c>
      <c r="AF87">
        <f t="shared" si="7"/>
        <v>66.939242613399912</v>
      </c>
    </row>
    <row r="88" spans="1:32" x14ac:dyDescent="0.2">
      <c r="A88" t="s">
        <v>101</v>
      </c>
      <c r="B88">
        <v>88178</v>
      </c>
      <c r="C88">
        <v>64151</v>
      </c>
      <c r="D88">
        <v>63599</v>
      </c>
      <c r="E88">
        <v>63703</v>
      </c>
      <c r="F88">
        <v>61498</v>
      </c>
      <c r="G88">
        <v>59198</v>
      </c>
      <c r="H88">
        <f t="shared" si="4"/>
        <v>67.1346594388623</v>
      </c>
      <c r="L88">
        <f t="shared" si="5"/>
        <v>0.13647415707730048</v>
      </c>
      <c r="N88" t="s">
        <v>196</v>
      </c>
      <c r="O88">
        <v>646115</v>
      </c>
      <c r="P88">
        <v>482247</v>
      </c>
      <c r="Q88">
        <v>480825</v>
      </c>
      <c r="R88">
        <v>481684</v>
      </c>
      <c r="S88">
        <v>475404</v>
      </c>
      <c r="T88">
        <v>446955</v>
      </c>
      <c r="U88">
        <f t="shared" si="6"/>
        <v>69.175765924022812</v>
      </c>
      <c r="Y88" s="1" t="s">
        <v>196</v>
      </c>
      <c r="Z88" s="1">
        <v>88039</v>
      </c>
      <c r="AA88" s="1">
        <v>65545</v>
      </c>
      <c r="AB88" s="1">
        <v>65406</v>
      </c>
      <c r="AC88" s="1">
        <v>65451</v>
      </c>
      <c r="AD88" s="1">
        <v>64998</v>
      </c>
      <c r="AE88" s="1">
        <v>62190</v>
      </c>
      <c r="AF88">
        <f t="shared" si="7"/>
        <v>70.639148559161285</v>
      </c>
    </row>
    <row r="89" spans="1:32" x14ac:dyDescent="0.2">
      <c r="A89" t="s">
        <v>102</v>
      </c>
      <c r="B89">
        <v>89099</v>
      </c>
      <c r="C89">
        <v>62398</v>
      </c>
      <c r="D89">
        <v>61661</v>
      </c>
      <c r="E89">
        <v>61920</v>
      </c>
      <c r="F89">
        <v>59615</v>
      </c>
      <c r="G89">
        <v>57301</v>
      </c>
      <c r="H89">
        <f t="shared" si="4"/>
        <v>64.311608435560444</v>
      </c>
      <c r="L89">
        <f t="shared" si="5"/>
        <v>0.12714206822939483</v>
      </c>
      <c r="N89" t="s">
        <v>197</v>
      </c>
      <c r="O89">
        <v>700783</v>
      </c>
      <c r="P89">
        <v>513304</v>
      </c>
      <c r="Q89">
        <v>512348</v>
      </c>
      <c r="R89">
        <v>512240</v>
      </c>
      <c r="S89">
        <v>506415</v>
      </c>
      <c r="T89">
        <v>475833</v>
      </c>
      <c r="U89">
        <f t="shared" si="6"/>
        <v>67.900191642776718</v>
      </c>
      <c r="Y89" s="1" t="s">
        <v>197</v>
      </c>
      <c r="Z89" s="1">
        <v>88911</v>
      </c>
      <c r="AA89" s="1">
        <v>65049</v>
      </c>
      <c r="AB89" s="1">
        <v>64912</v>
      </c>
      <c r="AC89" s="1">
        <v>64939</v>
      </c>
      <c r="AD89" s="1">
        <v>64448</v>
      </c>
      <c r="AE89" s="1">
        <v>61446</v>
      </c>
      <c r="AF89">
        <f t="shared" si="7"/>
        <v>69.109558997199443</v>
      </c>
    </row>
    <row r="90" spans="1:32" x14ac:dyDescent="0.2">
      <c r="A90" t="s">
        <v>103</v>
      </c>
      <c r="B90">
        <v>93545</v>
      </c>
      <c r="C90">
        <v>63614</v>
      </c>
      <c r="D90">
        <v>62939</v>
      </c>
      <c r="E90">
        <v>63158</v>
      </c>
      <c r="F90">
        <v>60821</v>
      </c>
      <c r="G90">
        <v>58246</v>
      </c>
      <c r="H90">
        <f t="shared" si="4"/>
        <v>62.265219947618789</v>
      </c>
      <c r="L90">
        <f t="shared" si="5"/>
        <v>0.13365003393220704</v>
      </c>
      <c r="N90" t="s">
        <v>198</v>
      </c>
      <c r="O90">
        <v>699925</v>
      </c>
      <c r="P90">
        <v>487404</v>
      </c>
      <c r="Q90">
        <v>486453</v>
      </c>
      <c r="R90">
        <v>486650</v>
      </c>
      <c r="S90">
        <v>481507</v>
      </c>
      <c r="T90">
        <v>450306</v>
      </c>
      <c r="U90">
        <f t="shared" si="6"/>
        <v>64.336321748758792</v>
      </c>
      <c r="Y90" s="1" t="s">
        <v>198</v>
      </c>
      <c r="Z90" s="1">
        <v>93424</v>
      </c>
      <c r="AA90" s="1">
        <v>65180</v>
      </c>
      <c r="AB90" s="1">
        <v>65029</v>
      </c>
      <c r="AC90" s="1">
        <v>65034</v>
      </c>
      <c r="AD90" s="1">
        <v>64598</v>
      </c>
      <c r="AE90" s="1">
        <v>61292</v>
      </c>
      <c r="AF90">
        <f t="shared" si="7"/>
        <v>65.606268196609008</v>
      </c>
    </row>
    <row r="91" spans="1:32" x14ac:dyDescent="0.2">
      <c r="A91" t="s">
        <v>104</v>
      </c>
      <c r="B91">
        <v>67202</v>
      </c>
      <c r="C91">
        <v>46397</v>
      </c>
      <c r="D91">
        <v>45328</v>
      </c>
      <c r="E91">
        <v>45777</v>
      </c>
      <c r="F91">
        <v>43472</v>
      </c>
      <c r="G91">
        <v>42294</v>
      </c>
      <c r="H91">
        <f t="shared" si="4"/>
        <v>62.935626915865598</v>
      </c>
      <c r="L91">
        <f t="shared" si="5"/>
        <v>0.11450585887913688</v>
      </c>
      <c r="N91" t="s">
        <v>199</v>
      </c>
      <c r="O91">
        <v>586887</v>
      </c>
      <c r="P91">
        <v>409372</v>
      </c>
      <c r="Q91">
        <v>408328</v>
      </c>
      <c r="R91">
        <v>408259</v>
      </c>
      <c r="S91">
        <v>404143</v>
      </c>
      <c r="T91">
        <v>384012</v>
      </c>
      <c r="U91">
        <f t="shared" si="6"/>
        <v>65.432016725536599</v>
      </c>
      <c r="Y91" s="1" t="s">
        <v>199</v>
      </c>
      <c r="Z91" s="1">
        <v>67041</v>
      </c>
      <c r="AA91" s="1">
        <v>46846</v>
      </c>
      <c r="AB91" s="1">
        <v>46669</v>
      </c>
      <c r="AC91" s="1">
        <v>46665</v>
      </c>
      <c r="AD91" s="1">
        <v>46286</v>
      </c>
      <c r="AE91" s="1">
        <v>44751</v>
      </c>
      <c r="AF91">
        <f t="shared" si="7"/>
        <v>66.751689264778264</v>
      </c>
    </row>
    <row r="92" spans="1:32" x14ac:dyDescent="0.2">
      <c r="A92" t="s">
        <v>105</v>
      </c>
      <c r="B92">
        <v>32041</v>
      </c>
      <c r="C92">
        <v>6193</v>
      </c>
      <c r="D92">
        <v>5951</v>
      </c>
      <c r="E92">
        <v>6015</v>
      </c>
      <c r="F92">
        <v>5757</v>
      </c>
      <c r="G92">
        <v>4953</v>
      </c>
      <c r="H92">
        <f t="shared" si="4"/>
        <v>15.458319028744421</v>
      </c>
      <c r="L92">
        <f t="shared" si="5"/>
        <v>0.15181566628129561</v>
      </c>
      <c r="N92" t="s">
        <v>200</v>
      </c>
      <c r="O92">
        <v>211052</v>
      </c>
      <c r="P92">
        <v>56762</v>
      </c>
      <c r="Q92">
        <v>56762</v>
      </c>
      <c r="R92">
        <v>56677</v>
      </c>
      <c r="S92">
        <v>55935</v>
      </c>
      <c r="T92">
        <v>46628</v>
      </c>
      <c r="U92">
        <f t="shared" si="6"/>
        <v>22.093133445785874</v>
      </c>
      <c r="Y92" s="1" t="s">
        <v>200</v>
      </c>
      <c r="Z92" s="1">
        <v>32025</v>
      </c>
      <c r="AA92" s="1">
        <v>8685</v>
      </c>
      <c r="AB92" s="1">
        <v>8683</v>
      </c>
      <c r="AC92" s="1">
        <v>8683</v>
      </c>
      <c r="AD92" s="1">
        <v>8575</v>
      </c>
      <c r="AE92" s="1">
        <v>7218</v>
      </c>
      <c r="AF92">
        <f t="shared" si="7"/>
        <v>22.538641686182672</v>
      </c>
    </row>
    <row r="93" spans="1:32" x14ac:dyDescent="0.2">
      <c r="A93" t="s">
        <v>106</v>
      </c>
      <c r="B93">
        <v>94639</v>
      </c>
      <c r="C93">
        <v>80445</v>
      </c>
      <c r="D93">
        <v>79915</v>
      </c>
      <c r="E93">
        <v>80127</v>
      </c>
      <c r="F93">
        <v>78770</v>
      </c>
      <c r="G93">
        <v>76334</v>
      </c>
      <c r="H93">
        <f t="shared" si="4"/>
        <v>80.658079650038573</v>
      </c>
      <c r="L93">
        <f t="shared" si="5"/>
        <v>0.1399399363875774</v>
      </c>
      <c r="N93" t="s">
        <v>201</v>
      </c>
      <c r="O93">
        <v>676283</v>
      </c>
      <c r="P93">
        <v>588659</v>
      </c>
      <c r="Q93">
        <v>588168</v>
      </c>
      <c r="R93">
        <v>585670</v>
      </c>
      <c r="S93">
        <v>580048</v>
      </c>
      <c r="T93">
        <v>552717</v>
      </c>
      <c r="U93">
        <f t="shared" si="6"/>
        <v>81.728655015725664</v>
      </c>
      <c r="Y93" s="1" t="s">
        <v>201</v>
      </c>
      <c r="Z93" s="1">
        <v>94421</v>
      </c>
      <c r="AA93" s="1">
        <v>82152</v>
      </c>
      <c r="AB93" s="1">
        <v>81954</v>
      </c>
      <c r="AC93" s="1">
        <v>82073</v>
      </c>
      <c r="AD93" s="1">
        <v>81687</v>
      </c>
      <c r="AE93" s="1">
        <v>78692</v>
      </c>
      <c r="AF93">
        <f t="shared" si="7"/>
        <v>83.341629510384337</v>
      </c>
    </row>
    <row r="94" spans="1:32" x14ac:dyDescent="0.2">
      <c r="A94" t="s">
        <v>107</v>
      </c>
      <c r="B94">
        <v>28316</v>
      </c>
      <c r="C94">
        <v>25313</v>
      </c>
      <c r="D94">
        <v>24862</v>
      </c>
      <c r="E94">
        <v>24826</v>
      </c>
      <c r="F94">
        <v>24292</v>
      </c>
      <c r="G94">
        <v>24268</v>
      </c>
      <c r="H94">
        <f t="shared" si="4"/>
        <v>85.704195507840083</v>
      </c>
      <c r="L94">
        <f t="shared" si="5"/>
        <v>0.12237401086482071</v>
      </c>
      <c r="N94" t="s">
        <v>202</v>
      </c>
      <c r="O94">
        <v>231389</v>
      </c>
      <c r="P94">
        <v>220122</v>
      </c>
      <c r="Q94">
        <v>220089</v>
      </c>
      <c r="R94">
        <v>219004</v>
      </c>
      <c r="S94">
        <v>217226</v>
      </c>
      <c r="T94">
        <v>215646</v>
      </c>
      <c r="U94">
        <f t="shared" si="6"/>
        <v>93.196305788088452</v>
      </c>
      <c r="Y94" s="1" t="s">
        <v>202</v>
      </c>
      <c r="Z94" s="1">
        <v>28244</v>
      </c>
      <c r="AA94" s="1">
        <v>26879</v>
      </c>
      <c r="AB94" s="1">
        <v>26805</v>
      </c>
      <c r="AC94" s="1">
        <v>26878</v>
      </c>
      <c r="AD94" s="1">
        <v>26713</v>
      </c>
      <c r="AE94" s="1">
        <v>25565</v>
      </c>
      <c r="AF94">
        <f t="shared" si="7"/>
        <v>90.5147996034556</v>
      </c>
    </row>
    <row r="95" spans="1:32" x14ac:dyDescent="0.2">
      <c r="A95" t="s">
        <v>108</v>
      </c>
      <c r="B95">
        <v>20271</v>
      </c>
      <c r="C95">
        <v>17143</v>
      </c>
      <c r="D95">
        <v>16974</v>
      </c>
      <c r="E95">
        <v>16833</v>
      </c>
      <c r="F95">
        <v>16307</v>
      </c>
      <c r="G95">
        <v>16034</v>
      </c>
      <c r="H95">
        <f t="shared" si="4"/>
        <v>79.098219130777963</v>
      </c>
      <c r="L95">
        <f t="shared" si="5"/>
        <v>0.10439498187211602</v>
      </c>
      <c r="N95" t="s">
        <v>203</v>
      </c>
      <c r="O95">
        <v>194176</v>
      </c>
      <c r="P95">
        <v>180164</v>
      </c>
      <c r="Q95">
        <v>180164</v>
      </c>
      <c r="R95">
        <v>179694</v>
      </c>
      <c r="S95">
        <v>177245</v>
      </c>
      <c r="T95">
        <v>173035</v>
      </c>
      <c r="U95">
        <f t="shared" si="6"/>
        <v>89.112454680290043</v>
      </c>
      <c r="Y95" s="1" t="s">
        <v>203</v>
      </c>
      <c r="Z95" s="1">
        <v>20283</v>
      </c>
      <c r="AA95" s="1">
        <v>18775</v>
      </c>
      <c r="AB95" s="1">
        <v>18775</v>
      </c>
      <c r="AC95" s="1">
        <v>18773</v>
      </c>
      <c r="AD95" s="1">
        <v>18622</v>
      </c>
      <c r="AE95" s="1">
        <v>18277</v>
      </c>
      <c r="AF95">
        <f t="shared" si="7"/>
        <v>90.109944288320264</v>
      </c>
    </row>
    <row r="96" spans="1:32" x14ac:dyDescent="0.2">
      <c r="A96" t="s">
        <v>109</v>
      </c>
      <c r="B96">
        <v>34868</v>
      </c>
      <c r="C96">
        <v>30922</v>
      </c>
      <c r="D96">
        <v>30559</v>
      </c>
      <c r="E96">
        <v>30528</v>
      </c>
      <c r="F96">
        <v>29987</v>
      </c>
      <c r="G96">
        <v>29987</v>
      </c>
      <c r="H96">
        <f>G96/B96*100</f>
        <v>86.00149133876333</v>
      </c>
      <c r="L96">
        <f t="shared" si="5"/>
        <v>9.8104204063947237E-2</v>
      </c>
      <c r="N96" t="s">
        <v>204</v>
      </c>
      <c r="O96">
        <v>355418</v>
      </c>
      <c r="P96">
        <v>335689</v>
      </c>
      <c r="Q96">
        <v>334109</v>
      </c>
      <c r="R96">
        <v>333678</v>
      </c>
      <c r="S96">
        <v>328491</v>
      </c>
      <c r="T96">
        <v>325092</v>
      </c>
      <c r="U96">
        <f t="shared" si="6"/>
        <v>91.467511493509051</v>
      </c>
      <c r="Y96" s="1" t="s">
        <v>204</v>
      </c>
      <c r="Z96" s="1">
        <v>34890</v>
      </c>
      <c r="AA96" s="1">
        <v>32925</v>
      </c>
      <c r="AB96" s="1">
        <v>32925</v>
      </c>
      <c r="AC96" s="1">
        <v>32829</v>
      </c>
      <c r="AD96" s="1">
        <v>32771</v>
      </c>
      <c r="AE96" s="1">
        <v>31458</v>
      </c>
      <c r="AF96">
        <f t="shared" si="7"/>
        <v>90.163370593293195</v>
      </c>
    </row>
    <row r="97" spans="1:32" x14ac:dyDescent="0.2">
      <c r="A97" t="s">
        <v>110</v>
      </c>
      <c r="B97">
        <v>82338</v>
      </c>
      <c r="C97">
        <v>14460</v>
      </c>
      <c r="D97">
        <v>13996</v>
      </c>
      <c r="E97">
        <v>14101</v>
      </c>
      <c r="F97">
        <v>13679</v>
      </c>
      <c r="G97">
        <v>13560</v>
      </c>
      <c r="H97">
        <f>G97/B97*100</f>
        <v>16.468702178823872</v>
      </c>
      <c r="L97">
        <f t="shared" si="5"/>
        <v>0.12565948413346417</v>
      </c>
      <c r="N97" t="s">
        <v>205</v>
      </c>
      <c r="O97">
        <v>655247</v>
      </c>
      <c r="P97">
        <v>117768</v>
      </c>
      <c r="Q97">
        <v>117629</v>
      </c>
      <c r="R97">
        <v>117501</v>
      </c>
      <c r="S97">
        <v>115894</v>
      </c>
      <c r="T97">
        <v>112549</v>
      </c>
      <c r="U97">
        <f t="shared" si="6"/>
        <v>17.176576161355946</v>
      </c>
      <c r="Y97" s="1" t="s">
        <v>205</v>
      </c>
      <c r="Z97" s="1">
        <v>82129</v>
      </c>
      <c r="AA97" s="1">
        <v>14794</v>
      </c>
      <c r="AB97" s="1">
        <v>14758</v>
      </c>
      <c r="AC97" s="1">
        <v>14704</v>
      </c>
      <c r="AD97" s="1">
        <v>14644</v>
      </c>
      <c r="AE97" s="1">
        <v>14457</v>
      </c>
      <c r="AF97">
        <f t="shared" si="7"/>
        <v>17.60279560204069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18S read 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Jacoby Baker</dc:creator>
  <cp:lastModifiedBy>Jacoby Baker</cp:lastModifiedBy>
  <dcterms:created xsi:type="dcterms:W3CDTF">2025-06-02T15:43:40Z</dcterms:created>
  <dcterms:modified xsi:type="dcterms:W3CDTF">2025-08-14T23:13:14Z</dcterms:modified>
</cp:coreProperties>
</file>